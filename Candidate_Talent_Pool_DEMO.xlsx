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Add Candidate" sheetId="3" state="visible" r:id="rId5"/>
    <sheet name="Candidates" sheetId="4" state="visible" r:id="rId6"/>
    <sheet name="Follow-Up" sheetId="5" state="visible" r:id="rId7"/>
    <sheet name="Find Candidates" sheetId="6" state="visible" r:id="rId8"/>
    <sheet name="Positions" sheetId="7" state="visible" r:id="rId9"/>
    <sheet name="Contact Log" sheetId="8" state="visible" r:id="rId10"/>
    <sheet name="Match_Calc" sheetId="9" state="hidden" r:id="rId11"/>
    <sheet name="Lists" sheetId="10" state="visible" r:id="rId12"/>
    <sheet name="Settings" sheetId="11" state="hidden" r:id="rId13"/>
  </sheets>
  <definedNames>
    <definedName function="false" hidden="true" localSheetId="3" name="_xlnm._FilterDatabase" vbProcedure="false">Candidates!$A$1:$T$201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<sst xmlns="http://schemas.openxmlformats.org/spreadsheetml/2006/main" count="1148" uniqueCount="621">
  <si>
    <t xml:space="preserve">TALENT POOL SYSTEM   ·   FREE DEMO</t>
  </si>
  <si>
    <t xml:space="preserve">Candidate Talent Pool</t>
  </si>
  <si>
    <t xml:space="preserve">Recruit   •   Learn   •   Store   •   Reuse</t>
  </si>
  <si>
    <t xml:space="preserve">Turn every candidate you meet into an asset for your next vacancy.</t>
  </si>
  <si>
    <t xml:space="preserve">Licensed software. Single-company use, up to 5 users. No resale or redistribution.   Full license at the bottom of this page ↓</t>
  </si>
  <si>
    <t xml:space="preserve">CREATED BY</t>
  </si>
  <si>
    <t xml:space="preserve">WANT FULL ACCESS?</t>
  </si>
  <si>
    <t xml:space="preserve">This is a view-only demo. Message me and I will give you full access, so you can add candidates, log follow-ups and test it with your own data.</t>
  </si>
  <si>
    <t xml:space="preserve">WHAT IT DOES</t>
  </si>
  <si>
    <t xml:space="preserve">🗂️</t>
  </si>
  <si>
    <t xml:space="preserve">🔎</t>
  </si>
  <si>
    <t xml:space="preserve">🔔</t>
  </si>
  <si>
    <t xml:space="preserve">Remember everyone</t>
  </si>
  <si>
    <t xml:space="preserve">Find matches in seconds</t>
  </si>
  <si>
    <t xml:space="preserve">Never miss a follow-up</t>
  </si>
  <si>
    <t xml:space="preserve">Every candidate you meet is saved with skills, status and consent, hired or not.</t>
  </si>
  <si>
    <t xml:space="preserve">Pick a vacancy and get a ranked list of people you already know, scored out of 100.</t>
  </si>
  <si>
    <t xml:space="preserve">See who to contact today or tomorrow and log every conversation in one place.</t>
  </si>
  <si>
    <t xml:space="preserve">GET STARTED IN 3 STEPS</t>
  </si>
  <si>
    <t xml:space="preserve">1</t>
  </si>
  <si>
    <t xml:space="preserve">2</t>
  </si>
  <si>
    <t xml:space="preserve">3</t>
  </si>
  <si>
    <t xml:space="preserve">Add</t>
  </si>
  <si>
    <t xml:space="preserve">Find</t>
  </si>
  <si>
    <t xml:space="preserve">Follow up</t>
  </si>
  <si>
    <t xml:space="preserve">After each hiring round, register every candidate in the Add Candidate tab.</t>
  </si>
  <si>
    <t xml:space="preserve">When a position opens, pick it in Find Candidates and see the best matches.</t>
  </si>
  <si>
    <t xml:space="preserve">Log every contact in Follow-Up and watch the Dashboard.</t>
  </si>
  <si>
    <t xml:space="preserve">TABS AT A GLANCE</t>
  </si>
  <si>
    <t xml:space="preserve">📊  Dashboard</t>
  </si>
  <si>
    <t xml:space="preserve">Candidates recorded, hired, open positions, who to contact today or tomorrow, plus charts.</t>
  </si>
  <si>
    <t xml:space="preserve">➕  Add Candidate</t>
  </si>
  <si>
    <t xml:space="preserve">The form you use to register a candidate.</t>
  </si>
  <si>
    <t xml:space="preserve">🗂️  Candidates</t>
  </si>
  <si>
    <t xml:space="preserve">The database. One row per candidate, with colors for status and future potential.</t>
  </si>
  <si>
    <t xml:space="preserve">🔔  Follow-Up   🔒</t>
  </si>
  <si>
    <t xml:space="preserve">🔒 Premium.  Log every contact with a candidate, and see who is due to be contacted next.</t>
  </si>
  <si>
    <t xml:space="preserve">🔎  Find Candidates   🔒</t>
  </si>
  <si>
    <t xml:space="preserve">🔒 Premium.  Pick a vacancy and get a ranked list of past candidates who may fit.</t>
  </si>
  <si>
    <t xml:space="preserve">📌  Positions</t>
  </si>
  <si>
    <t xml:space="preserve">Your job positions: status (Open, On Hold, Closed), openings, hiring manager, requirements.</t>
  </si>
  <si>
    <t xml:space="preserve">📝  Contact Log   🔒</t>
  </si>
  <si>
    <t xml:space="preserve">🔒 Premium.  The history of every follow-up. Filled automatically.</t>
  </si>
  <si>
    <t xml:space="preserve">📋  Lists</t>
  </si>
  <si>
    <t xml:space="preserve">The values behind the dropdown menus (skills, statuses, cities).</t>
  </si>
  <si>
    <t xml:space="preserve">Full instructions</t>
  </si>
  <si>
    <t xml:space="preserve">Everything you need to use the workbook, step by step.</t>
  </si>
  <si>
    <t xml:space="preserve">A.  ADD A CANDIDATE  (about 1 minute)</t>
  </si>
  <si>
    <t xml:space="preserve">Step 1</t>
  </si>
  <si>
    <t xml:space="preserve">Open the Add Candidate tab.</t>
  </si>
  <si>
    <t xml:space="preserve">Step 2</t>
  </si>
  <si>
    <t xml:space="preserve">Fill in the yellow cells from top to bottom. Use the dropdown arrows wherever you see one. Required fields are marked in the hint column.</t>
  </si>
  <si>
    <t xml:space="preserve">Step 3</t>
  </si>
  <si>
    <t xml:space="preserve">Click the ADD CANDIDATE button (or the menu Talent Pool &gt; Add candidate).</t>
  </si>
  <si>
    <t xml:space="preserve">Step 4</t>
  </si>
  <si>
    <t xml:space="preserve">The form clears and the candidate appears at the bottom of the Candidates tab with an ID like CAN-2026-00041.</t>
  </si>
  <si>
    <t xml:space="preserve">Good to know</t>
  </si>
  <si>
    <t xml:space="preserve">Recruitment status is what happened in this hiring round. Future potential is whether you would consider this person for a different role later. Someone who was Not Selected can still be a Strong Future Fit.</t>
  </si>
  <si>
    <t xml:space="preserve">Consent</t>
  </si>
  <si>
    <t xml:space="preserve">Choose Yes only if the candidate agreed to be kept in your talent pool. Candidates without consent never appear in match results.</t>
  </si>
  <si>
    <t xml:space="preserve">B.  MANAGE JOB POSITIONS</t>
  </si>
  <si>
    <t xml:space="preserve">Open the Positions tab. Each row is one job position with its department, location, salary budget, required skills, status, number of openings, date opened, hiring manager and priority.</t>
  </si>
  <si>
    <t xml:space="preserve">To add a position, fill in the next empty row (up to row 51). Use the dropdowns for Status and Priority.</t>
  </si>
  <si>
    <t xml:space="preserve">Status</t>
  </si>
  <si>
    <t xml:space="preserve">Open = you are hiring now. On Hold = paused. Closed = filled or cancelled. Only Open positions are counted on the Dashboard.</t>
  </si>
  <si>
    <t xml:space="preserve">Openings</t>
  </si>
  <si>
    <t xml:space="preserve">How many people you want to hire for that position. The Dashboard adds them up as openings to fill.</t>
  </si>
  <si>
    <t xml:space="preserve">C.  FIND CANDIDATES FOR A NEW VACANCY</t>
  </si>
  <si>
    <t xml:space="preserve">Open the Find Candidates tab.</t>
  </si>
  <si>
    <t xml:space="preserve">Choose the position in the yellow cell at the top. The department, minimum experience, location, budget and required skills appear automatically.</t>
  </si>
  <si>
    <t xml:space="preserve">Read the Top 10 list. Each person has a score out of 100, a bar, a rating, and the points they earned for each criterion.</t>
  </si>
  <si>
    <t xml:space="preserve">Ratings</t>
  </si>
  <si>
    <t xml:space="preserve">70 or more = Strong match.  50 to 69 = Possible match.  Below 50 = Weak match.</t>
  </si>
  <si>
    <t xml:space="preserve">Contact the best candidates, then record the contact in the Follow-Up tab.</t>
  </si>
  <si>
    <t xml:space="preserve">New job type?</t>
  </si>
  <si>
    <t xml:space="preserve">Add a row in the Positions tab. It appears in the dropdown right away.</t>
  </si>
  <si>
    <t xml:space="preserve">D.  HOW THE SCORE WORKS  (you never type the score)</t>
  </si>
  <si>
    <t xml:space="preserve">Skills  (40)</t>
  </si>
  <si>
    <t xml:space="preserve">The share of the required skills the candidate has. Having 4 of 5 required skills earns 80% of the 40 points.</t>
  </si>
  <si>
    <t xml:space="preserve">Experience  (25)</t>
  </si>
  <si>
    <t xml:space="preserve">Full points if the candidate has at least the minimum years. Fewer years earns a proportion of the points.</t>
  </si>
  <si>
    <t xml:space="preserve">Department  (15)</t>
  </si>
  <si>
    <t xml:space="preserve">Full points if the candidate applied in the same department as this vacancy.</t>
  </si>
  <si>
    <t xml:space="preserve">Location  (10)</t>
  </si>
  <si>
    <t xml:space="preserve">Full points if the candidate is in the same city as the job.</t>
  </si>
  <si>
    <t xml:space="preserve">Availability  (5)</t>
  </si>
  <si>
    <t xml:space="preserve">Full points if they can start within 30 days, half the points within 60 days.</t>
  </si>
  <si>
    <t xml:space="preserve">Salary  (5)</t>
  </si>
  <si>
    <t xml:space="preserve">Full points if their expected salary is at or below the budget.</t>
  </si>
  <si>
    <t xml:space="preserve">Who is excluded</t>
  </si>
  <si>
    <t xml:space="preserve">People with status Hired, people marked Do Not Contact, and people without consent are never shown.</t>
  </si>
  <si>
    <t xml:space="preserve">Customize</t>
  </si>
  <si>
    <t xml:space="preserve">You can change the points in the yellow cells on Find Candidates. Keep the total at 100.</t>
  </si>
  <si>
    <t xml:space="preserve">Important</t>
  </si>
  <si>
    <t xml:space="preserve">The score helps a recruiter decide who to review first. It does not decide who gets hired. A person always makes the final decision.</t>
  </si>
  <si>
    <t xml:space="preserve">E.  LOG A FOLLOW-UP</t>
  </si>
  <si>
    <t xml:space="preserve">Open the Follow-Up tab. Part B lists who is due within 30 days. Overdue contacts are in red.</t>
  </si>
  <si>
    <t xml:space="preserve">In Part A, pick the candidate from the dropdown. Check that the name shown below it is the right person.</t>
  </si>
  <si>
    <t xml:space="preserve">Enter the date you contacted them (MM/DD/YYYY) and choose the outcome. Add a note and a next follow-up date if needed.</t>
  </si>
  <si>
    <t xml:space="preserve">Click the SAVE FOLLOW-UP button (or the menu Talent Pool &gt; Save follow-up).</t>
  </si>
  <si>
    <t xml:space="preserve">Outcomes</t>
  </si>
  <si>
    <t xml:space="preserve">Interested and No response: they stay in the pool and the next follow-up date is updated.  Hired elsewhere: follow-up is cleared unless you enter a new date.  Not interested: marked as not interested in future roles and removed from follow-up.  Do not contact again: marked Do Not Contact and excluded from all matching.</t>
  </si>
  <si>
    <t xml:space="preserve">Result</t>
  </si>
  <si>
    <t xml:space="preserve">The candidate row is updated and a line is added to the Contact Log tab.</t>
  </si>
  <si>
    <t xml:space="preserve">F.  READ THE DASHBOARD</t>
  </si>
  <si>
    <t xml:space="preserve">Candidates recorded</t>
  </si>
  <si>
    <t xml:space="preserve">How many candidates are registered in the Candidates tab.</t>
  </si>
  <si>
    <t xml:space="preserve">Accepted (hired)</t>
  </si>
  <si>
    <t xml:space="preserve">Candidates whose recruitment status is Hired, and their share of all candidates.</t>
  </si>
  <si>
    <t xml:space="preserve">Open positions</t>
  </si>
  <si>
    <t xml:space="preserve">Positions with status Open, and the total number of openings to fill.</t>
  </si>
  <si>
    <t xml:space="preserve">Due today or tomorrow</t>
  </si>
  <si>
    <t xml:space="preserve">Names of candidates whose next follow-up date is today or tomorrow, with a Today or Tomorrow label and how strong a future fit they are. Contact them, then log it in the Follow-Up tab.</t>
  </si>
  <si>
    <t xml:space="preserve">Open positions list</t>
  </si>
  <si>
    <t xml:space="preserve">Each open position with its location, openings and days open (days turn red after 30).</t>
  </si>
  <si>
    <t xml:space="preserve">Charts</t>
  </si>
  <si>
    <t xml:space="preserve">Recruitment pipeline, future potential, candidates by department, and follow-ups by month. They update by themselves.</t>
  </si>
  <si>
    <t xml:space="preserve">G.  CUSTOMIZE AND LIMITS</t>
  </si>
  <si>
    <t xml:space="preserve">Dropdown lists</t>
  </si>
  <si>
    <t xml:space="preserve">Edit the Lists tab to add skills, cities, sources or statuses. Add new skills at the bottom of the Skills column.</t>
  </si>
  <si>
    <t xml:space="preserve">Capacity</t>
  </si>
  <si>
    <t xml:space="preserve">The workbook is built for up to 200 candidates and 50 positions.</t>
  </si>
  <si>
    <t xml:space="preserve">Buttons</t>
  </si>
  <si>
    <t xml:space="preserve">The buttons and the Talent Pool menu need edit access. The first time you use them, Google asks for permission: choose your account, then Advanced, then Go to the project, then Allow. This is normal for personal scripts.</t>
  </si>
  <si>
    <t xml:space="preserve">Demo data</t>
  </si>
  <si>
    <t xml:space="preserve">Every name, email and number in this file is fictional. Several demo follow-up dates are tied to today's date so the Due today or tomorrow list always shows examples. Delete the sample rows in Candidates and Positions before using it with real people.</t>
  </si>
  <si>
    <t xml:space="preserve">H.  PRIVACY AND GOOD PRACTICE</t>
  </si>
  <si>
    <t xml:space="preserve">Keep it minimal</t>
  </si>
  <si>
    <t xml:space="preserve">Store only what you need to evaluate candidates for jobs. Do not store Social Security numbers, birth dates, or information about protected characteristics (for example race, religion, age, disability or family status).</t>
  </si>
  <si>
    <t xml:space="preserve">Keep candidate data only with their consent and follow your company policy and applicable laws. This prototype is not legal advice.</t>
  </si>
  <si>
    <t xml:space="preserve">I.  TROUBLESHOOTING</t>
  </si>
  <si>
    <t xml:space="preserve">Script function could not be found</t>
  </si>
  <si>
    <t xml:space="preserve">The button is assigned to a script name that does not match. Use exactly addCandidate or saveFollowUp (capital letters matter).</t>
  </si>
  <si>
    <t xml:space="preserve">The match list is empty</t>
  </si>
  <si>
    <t xml:space="preserve">No eligible candidates. Check that candidates have consent = Yes and are not Hired or Do Not Contact.</t>
  </si>
  <si>
    <t xml:space="preserve">A dropdown is empty or has no value I need</t>
  </si>
  <si>
    <t xml:space="preserve">Add the value in the Lists tab (or Positions tab for positions).</t>
  </si>
  <si>
    <t xml:space="preserve">Numbers look wrong</t>
  </si>
  <si>
    <t xml:space="preserve">Dates must be real dates (MM/DD/YYYY) and salary must be a plain number.</t>
  </si>
  <si>
    <t xml:space="preserve">Candidate Talent Pool   ·   View-only demo   ·   All names and data are fictional</t>
  </si>
  <si>
    <t xml:space="preserve">📜  LICENSE</t>
  </si>
  <si>
    <t xml:space="preserve">1. Grant</t>
  </si>
  <si>
    <t xml:space="preserve">The Licensor (the creator named above) grants you a non-exclusive, non-transferable license to use this workbook and its script for the internal recruiting work of ONE company or organization.</t>
  </si>
  <si>
    <t xml:space="preserve">2. Users</t>
  </si>
  <si>
    <t xml:space="preserve">One license covers up to 5 named users (email addresses) within that company.</t>
  </si>
  <si>
    <t xml:space="preserve">3. Not allowed</t>
  </si>
  <si>
    <t xml:space="preserve">Reselling, sharing, publishing, sublicensing or distributing this workbook, in whole or in part, to anyone outside your license. Removing this notice or the creator's name is not allowed.</t>
  </si>
  <si>
    <t xml:space="preserve">4. Your data</t>
  </si>
  <si>
    <t xml:space="preserve">Your candidate data stays yours. The Licensor does not receive it. You are responsible for storing it lawfully and with candidate consent.</t>
  </si>
  <si>
    <t xml:space="preserve">5. Ownership</t>
  </si>
  <si>
    <t xml:space="preserve">The design, formulas, scoring method and script remain the intellectual property of the Licensor. You may modify your own copy for internal use.</t>
  </si>
  <si>
    <t xml:space="preserve">6. No warranty</t>
  </si>
  <si>
    <t xml:space="preserve">Provided 'as is', without warranty. The match score supports a recruiter's review and never replaces a human hiring decision. The Licensor is not liable for hiring decisions or data loss.</t>
  </si>
  <si>
    <t xml:space="preserve">7. Termination</t>
  </si>
  <si>
    <t xml:space="preserve">The license ends automatically if you break these terms.</t>
  </si>
  <si>
    <t xml:space="preserve">Note</t>
  </si>
  <si>
    <t xml:space="preserve">This is a summary template, not legal advice. Have a lawyer review it before relying on it.</t>
  </si>
  <si>
    <t xml:space="preserve">Dashboard</t>
  </si>
  <si>
    <t xml:space="preserve">Your talent pool at a glance. Recruit, learn, store, reuse.</t>
  </si>
  <si>
    <t xml:space="preserve">👥  CANDIDATES RECORDED</t>
  </si>
  <si>
    <t xml:space="preserve">✅  ACCEPTED (HIRED)</t>
  </si>
  <si>
    <t xml:space="preserve">📌  OPEN POSITIONS</t>
  </si>
  <si>
    <t xml:space="preserve">⏰  DUE TODAY OR TOMORROW</t>
  </si>
  <si>
    <t xml:space="preserve">in the talent pool</t>
  </si>
  <si>
    <t xml:space="preserve">⏰  FOLLOW-UP DUE TODAY OR TOMORROW</t>
  </si>
  <si>
    <t xml:space="preserve">Position   |   Department</t>
  </si>
  <si>
    <t xml:space="preserve">Location</t>
  </si>
  <si>
    <t xml:space="preserve">Days open</t>
  </si>
  <si>
    <t xml:space="preserve">Candidate</t>
  </si>
  <si>
    <t xml:space="preserve">Applied for</t>
  </si>
  <si>
    <t xml:space="preserve">Due</t>
  </si>
  <si>
    <t xml:space="preserve">Future fit</t>
  </si>
  <si>
    <t xml:space="preserve">Data behind the charts (automatic, do not edit)</t>
  </si>
  <si>
    <t xml:space="preserve">Count</t>
  </si>
  <si>
    <t xml:space="preserve">Future potential</t>
  </si>
  <si>
    <t xml:space="preserve">Department</t>
  </si>
  <si>
    <t xml:space="preserve">Follow-ups</t>
  </si>
  <si>
    <t xml:space="preserve">Applied</t>
  </si>
  <si>
    <t xml:space="preserve">Strong Future Fit</t>
  </si>
  <si>
    <t xml:space="preserve">Operations</t>
  </si>
  <si>
    <t xml:space="preserve">Overdue</t>
  </si>
  <si>
    <t xml:space="preserve">Screened</t>
  </si>
  <si>
    <t xml:space="preserve">Potential Future Fit</t>
  </si>
  <si>
    <t xml:space="preserve">Analytics</t>
  </si>
  <si>
    <t xml:space="preserve">Interviewed</t>
  </si>
  <si>
    <t xml:space="preserve">Not Currently Relevant</t>
  </si>
  <si>
    <t xml:space="preserve">Human Resources</t>
  </si>
  <si>
    <t xml:space="preserve">Offered</t>
  </si>
  <si>
    <t xml:space="preserve">Do Not Contact</t>
  </si>
  <si>
    <t xml:space="preserve">Finance</t>
  </si>
  <si>
    <t xml:space="preserve">Hired</t>
  </si>
  <si>
    <t xml:space="preserve">Sales</t>
  </si>
  <si>
    <t xml:space="preserve">Not Selected</t>
  </si>
  <si>
    <t xml:space="preserve">Marketing</t>
  </si>
  <si>
    <t xml:space="preserve">Withdrawn</t>
  </si>
  <si>
    <t xml:space="preserve">Engineering</t>
  </si>
  <si>
    <t xml:space="preserve">Add a Candidate</t>
  </si>
  <si>
    <t xml:space="preserve">Step 1: fill the yellow cells.   Step 2: click the ADD CANDIDATE button (or menu Talent Pool &gt; Add candidate).</t>
  </si>
  <si>
    <t xml:space="preserve">👤  1. About the candidate</t>
  </si>
  <si>
    <t xml:space="preserve">Name</t>
  </si>
  <si>
    <t xml:space="preserve">e.g. Jessica Taylor</t>
  </si>
  <si>
    <t xml:space="preserve">Contact</t>
  </si>
  <si>
    <t xml:space="preserve">e.g. jessica.taylor@email.com or (555) 123-4567</t>
  </si>
  <si>
    <t xml:space="preserve">Position applied for</t>
  </si>
  <si>
    <t xml:space="preserve">Pick from the list</t>
  </si>
  <si>
    <t xml:space="preserve">Department (automatic)</t>
  </si>
  <si>
    <t xml:space="preserve">Filled in for you</t>
  </si>
  <si>
    <t xml:space="preserve">🧩  2. Skills and fit</t>
  </si>
  <si>
    <t xml:space="preserve">Skill 1</t>
  </si>
  <si>
    <t xml:space="preserve">Pick from the list. Required</t>
  </si>
  <si>
    <t xml:space="preserve">Skill 2</t>
  </si>
  <si>
    <t xml:space="preserve">Optional</t>
  </si>
  <si>
    <t xml:space="preserve">Skill 3</t>
  </si>
  <si>
    <t xml:space="preserve">Skill 4</t>
  </si>
  <si>
    <t xml:space="preserve">Skill 5</t>
  </si>
  <si>
    <t xml:space="preserve">Years of experience</t>
  </si>
  <si>
    <t xml:space="preserve">Whole years, e.g. 4</t>
  </si>
  <si>
    <t xml:space="preserve">Expected salary (USD/year)</t>
  </si>
  <si>
    <t xml:space="preserve">Annual salary in USD, e.g. 85000</t>
  </si>
  <si>
    <t xml:space="preserve">Notice period (days)</t>
  </si>
  <si>
    <t xml:space="preserve">Days until they could start, e.g. 14</t>
  </si>
  <si>
    <t xml:space="preserve">📋  3. Hiring outcome</t>
  </si>
  <si>
    <t xml:space="preserve">Source</t>
  </si>
  <si>
    <t xml:space="preserve">Where the candidate came from</t>
  </si>
  <si>
    <t xml:space="preserve">Recruitment status</t>
  </si>
  <si>
    <t xml:space="preserve">What happened in this hiring round</t>
  </si>
  <si>
    <t xml:space="preserve">Could this person fit a FUTURE role? (separate from status)</t>
  </si>
  <si>
    <t xml:space="preserve">Reason for decision</t>
  </si>
  <si>
    <t xml:space="preserve">Short note, e.g. Salary above budget</t>
  </si>
  <si>
    <t xml:space="preserve">🔔  4. Future contact</t>
  </si>
  <si>
    <t xml:space="preserve">Interested in future roles?</t>
  </si>
  <si>
    <t xml:space="preserve">Yes / No</t>
  </si>
  <si>
    <t xml:space="preserve">Consent to keep their data?</t>
  </si>
  <si>
    <t xml:space="preserve">Must be Yes to be used in matching</t>
  </si>
  <si>
    <t xml:space="preserve">Next follow-up date</t>
  </si>
  <si>
    <t xml:space="preserve">When to contact them again</t>
  </si>
  <si>
    <t xml:space="preserve">Tip: all data in this file is fictional demo data.</t>
  </si>
  <si>
    <t xml:space="preserve">Yellow = you type or pick.   Grey = automatic.</t>
  </si>
  <si>
    <t xml:space="preserve">Candidate ID</t>
  </si>
  <si>
    <t xml:space="preserve">Date Added</t>
  </si>
  <si>
    <t xml:space="preserve">Position Applied</t>
  </si>
  <si>
    <t xml:space="preserve">Skills</t>
  </si>
  <si>
    <t xml:space="preserve">Years of Experience</t>
  </si>
  <si>
    <t xml:space="preserve">Expected Salary (USD/year)</t>
  </si>
  <si>
    <t xml:space="preserve">Notice Period (days)</t>
  </si>
  <si>
    <t xml:space="preserve">Recruitment Status</t>
  </si>
  <si>
    <t xml:space="preserve">Future Potential</t>
  </si>
  <si>
    <t xml:space="preserve">Reason for Decision</t>
  </si>
  <si>
    <t xml:space="preserve">Interested in Future Roles</t>
  </si>
  <si>
    <t xml:space="preserve">Consent to Retain Data</t>
  </si>
  <si>
    <t xml:space="preserve">Next Follow-up Date</t>
  </si>
  <si>
    <t xml:space="preserve">Last Contact Date</t>
  </si>
  <si>
    <t xml:space="preserve">Last Contact Outcome</t>
  </si>
  <si>
    <t xml:space="preserve">due (helper)</t>
  </si>
  <si>
    <t xml:space="preserve">due # (helper)</t>
  </si>
  <si>
    <t xml:space="preserve">label (helper)</t>
  </si>
  <si>
    <t xml:space="preserve">today/tomorrow (helper)</t>
  </si>
  <si>
    <t xml:space="preserve">today/tomorrow # (helper)</t>
  </si>
  <si>
    <t xml:space="preserve">CAN-2026-00001</t>
  </si>
  <si>
    <t xml:space="preserve">Jason Martinez</t>
  </si>
  <si>
    <t xml:space="preserve">jason.martinez@example.com</t>
  </si>
  <si>
    <t xml:space="preserve">Marketing Manager</t>
  </si>
  <si>
    <t xml:space="preserve">Google Analytics, SEO, Budgeting</t>
  </si>
  <si>
    <t xml:space="preserve">Chicago, IL</t>
  </si>
  <si>
    <t xml:space="preserve">LinkedIn</t>
  </si>
  <si>
    <t xml:space="preserve">Relocation not possible</t>
  </si>
  <si>
    <t xml:space="preserve">Yes</t>
  </si>
  <si>
    <t xml:space="preserve">No</t>
  </si>
  <si>
    <t xml:space="preserve">Interested</t>
  </si>
  <si>
    <t xml:space="preserve">CAN-2026-00002</t>
  </si>
  <si>
    <t xml:space="preserve">Daniel Jackson</t>
  </si>
  <si>
    <t xml:space="preserve">daniel.jackson@example.com</t>
  </si>
  <si>
    <t xml:space="preserve">Staff Accountant</t>
  </si>
  <si>
    <t xml:space="preserve">Excel, QuickBooks, Reconciliation, Accounts Payable</t>
  </si>
  <si>
    <t xml:space="preserve">Austin, TX</t>
  </si>
  <si>
    <t xml:space="preserve">Indeed</t>
  </si>
  <si>
    <t xml:space="preserve">Insufficient experience for this level</t>
  </si>
  <si>
    <t xml:space="preserve">CAN-2026-00003</t>
  </si>
  <si>
    <t xml:space="preserve">Amanda Anderson</t>
  </si>
  <si>
    <t xml:space="preserve">amanda.anderson@example.com</t>
  </si>
  <si>
    <t xml:space="preserve">Excel, Reconciliation, QuickBooks</t>
  </si>
  <si>
    <t xml:space="preserve">Staffing Agency</t>
  </si>
  <si>
    <t xml:space="preserve">Best overall fit</t>
  </si>
  <si>
    <t xml:space="preserve">CAN-2026-00004</t>
  </si>
  <si>
    <t xml:space="preserve">Ashley Martinez</t>
  </si>
  <si>
    <t xml:space="preserve">ashley.martinez@example.com</t>
  </si>
  <si>
    <t xml:space="preserve">Quality Engineer</t>
  </si>
  <si>
    <t xml:space="preserve">ISO 9001, FMEA, Root Cause Analysis, Git, Process Improvement</t>
  </si>
  <si>
    <t xml:space="preserve">Columbus, OH</t>
  </si>
  <si>
    <t xml:space="preserve">Skill gap in a key requirement</t>
  </si>
  <si>
    <t xml:space="preserve">CAN-2026-00005</t>
  </si>
  <si>
    <t xml:space="preserve">Joshua Martinez</t>
  </si>
  <si>
    <t xml:space="preserve">joshua.martinez@example.com</t>
  </si>
  <si>
    <t xml:space="preserve">QuickBooks, Excel, Accounts Payable, GAAP, Tableau</t>
  </si>
  <si>
    <t xml:space="preserve">Denver, CO</t>
  </si>
  <si>
    <t xml:space="preserve">Company Website</t>
  </si>
  <si>
    <t xml:space="preserve">Salary expectation above budget</t>
  </si>
  <si>
    <t xml:space="preserve">No response</t>
  </si>
  <si>
    <t xml:space="preserve">CAN-2026-00006</t>
  </si>
  <si>
    <t xml:space="preserve">Kevin Davis</t>
  </si>
  <si>
    <t xml:space="preserve">kevin.davis@example.com</t>
  </si>
  <si>
    <t xml:space="preserve">Operations Manager</t>
  </si>
  <si>
    <t xml:space="preserve">Supply Chain, Team Leadership, Process Improvement, Budgeting</t>
  </si>
  <si>
    <t xml:space="preserve">CAN-2026-00007</t>
  </si>
  <si>
    <t xml:space="preserve">Nicole Brown</t>
  </si>
  <si>
    <t xml:space="preserve">nicole.brown@example.com</t>
  </si>
  <si>
    <t xml:space="preserve">Google Analytics, SEO, Content Strategy, Email Marketing</t>
  </si>
  <si>
    <t xml:space="preserve">Atlanta, GA</t>
  </si>
  <si>
    <t xml:space="preserve">Referral</t>
  </si>
  <si>
    <t xml:space="preserve">CAN-2026-00008</t>
  </si>
  <si>
    <t xml:space="preserve">Jessica Miller</t>
  </si>
  <si>
    <t xml:space="preserve">jessica.miller@example.com</t>
  </si>
  <si>
    <t xml:space="preserve">ISO 9001, SPC, Internal Audit, Root Cause Analysis, FMEA, Email Marketing, B2B Sales</t>
  </si>
  <si>
    <t xml:space="preserve">Passed CV screening</t>
  </si>
  <si>
    <t xml:space="preserve">CAN-2026-00009</t>
  </si>
  <si>
    <t xml:space="preserve">Ashley Williams</t>
  </si>
  <si>
    <t xml:space="preserve">ashley.williams@example.com</t>
  </si>
  <si>
    <t xml:space="preserve">Budgeting, Email Marketing, Google Analytics, SEO, CRM, Onboarding</t>
  </si>
  <si>
    <t xml:space="preserve">CAN-2026-00010</t>
  </si>
  <si>
    <t xml:space="preserve">Ashley Thompson</t>
  </si>
  <si>
    <t xml:space="preserve">ashley.thompson@example.com</t>
  </si>
  <si>
    <t xml:space="preserve">Google Analytics, SEO, Content Strategy, Email Marketing, Root Cause Analysis</t>
  </si>
  <si>
    <t xml:space="preserve">CAN-2026-00011</t>
  </si>
  <si>
    <t xml:space="preserve">Nicole Garcia</t>
  </si>
  <si>
    <t xml:space="preserve">nicole.garcia@example.com</t>
  </si>
  <si>
    <t xml:space="preserve">Account Executive</t>
  </si>
  <si>
    <t xml:space="preserve">B2B Sales, Negotiation, Salesforce, CRM, Pipeline Management</t>
  </si>
  <si>
    <t xml:space="preserve">Awaiting final decision</t>
  </si>
  <si>
    <t xml:space="preserve">CAN-2026-00012</t>
  </si>
  <si>
    <t xml:space="preserve">Brittany Thomas</t>
  </si>
  <si>
    <t xml:space="preserve">brittany.thomas@example.com</t>
  </si>
  <si>
    <t xml:space="preserve">Pipeline Management, CRM, Salesforce, B2B Sales, Negotiation, FMEA</t>
  </si>
  <si>
    <t xml:space="preserve">Dallas, TX</t>
  </si>
  <si>
    <t xml:space="preserve">CAN-2026-00013</t>
  </si>
  <si>
    <t xml:space="preserve">Jessica Thomas</t>
  </si>
  <si>
    <t xml:space="preserve">jessica.thomas@example.com</t>
  </si>
  <si>
    <t xml:space="preserve">Google Analytics, Content Strategy, Budgeting, Root Cause Analysis, Onboarding</t>
  </si>
  <si>
    <t xml:space="preserve">CAN-2026-00014</t>
  </si>
  <si>
    <t xml:space="preserve">Christopher Garcia</t>
  </si>
  <si>
    <t xml:space="preserve">christopher.garcia@example.com</t>
  </si>
  <si>
    <t xml:space="preserve">Supply Chain, Team Leadership, Lean Six Sigma, Process Improvement</t>
  </si>
  <si>
    <t xml:space="preserve">CAN-2026-00015</t>
  </si>
  <si>
    <t xml:space="preserve">Jason Miller</t>
  </si>
  <si>
    <t xml:space="preserve">jason.miller@example.com</t>
  </si>
  <si>
    <t xml:space="preserve">Process Improvement, Lean Six Sigma, Team Leadership</t>
  </si>
  <si>
    <t xml:space="preserve">CAN-2026-00016</t>
  </si>
  <si>
    <t xml:space="preserve">Brittany Jackson</t>
  </si>
  <si>
    <t xml:space="preserve">brittany.jackson@example.com</t>
  </si>
  <si>
    <t xml:space="preserve">Data Analyst</t>
  </si>
  <si>
    <t xml:space="preserve">Excel, SQL, Python, Employee Relations</t>
  </si>
  <si>
    <t xml:space="preserve">Accepted another offer</t>
  </si>
  <si>
    <t xml:space="preserve">CAN-2026-00017</t>
  </si>
  <si>
    <t xml:space="preserve">Emily Martin</t>
  </si>
  <si>
    <t xml:space="preserve">emily.martin@example.com</t>
  </si>
  <si>
    <t xml:space="preserve">GAAP, Reconciliation, Accounts Payable, QuickBooks, Excel, SEO, CRM</t>
  </si>
  <si>
    <t xml:space="preserve">CAN-2026-00018</t>
  </si>
  <si>
    <t xml:space="preserve">Jessica Anderson</t>
  </si>
  <si>
    <t xml:space="preserve">jessica.anderson@example.com</t>
  </si>
  <si>
    <t xml:space="preserve">Root Cause Analysis, FMEA, ISO 9001</t>
  </si>
  <si>
    <t xml:space="preserve">Stronger candidate selected</t>
  </si>
  <si>
    <t xml:space="preserve">CAN-2026-00019</t>
  </si>
  <si>
    <t xml:space="preserve">Jessica Wilson</t>
  </si>
  <si>
    <t xml:space="preserve">jessica.wilson@example.com</t>
  </si>
  <si>
    <t xml:space="preserve">Software Engineer</t>
  </si>
  <si>
    <t xml:space="preserve">AWS, SQL, Python, JavaScript, Excel, Recruiting</t>
  </si>
  <si>
    <t xml:space="preserve">CAN-2026-00020</t>
  </si>
  <si>
    <t xml:space="preserve">Ashley Thomas</t>
  </si>
  <si>
    <t xml:space="preserve">ashley.thomas@example.com</t>
  </si>
  <si>
    <t xml:space="preserve">Budgeting, Google Analytics, SEO, ISO 9001, FMEA</t>
  </si>
  <si>
    <t xml:space="preserve">CAN-2026-00021</t>
  </si>
  <si>
    <t xml:space="preserve">Tyler Jackson</t>
  </si>
  <si>
    <t xml:space="preserve">tyler.jackson@example.com</t>
  </si>
  <si>
    <t xml:space="preserve">Process Improvement, Team Leadership, Budgeting, Tableau</t>
  </si>
  <si>
    <t xml:space="preserve">CAN-2026-00022</t>
  </si>
  <si>
    <t xml:space="preserve">Megan Martin</t>
  </si>
  <si>
    <t xml:space="preserve">megan.martin@example.com</t>
  </si>
  <si>
    <t xml:space="preserve">ISO 9001, SPC, FMEA, Root Cause Analysis</t>
  </si>
  <si>
    <t xml:space="preserve">CAN-2026-00023</t>
  </si>
  <si>
    <t xml:space="preserve">Sarah Martinez</t>
  </si>
  <si>
    <t xml:space="preserve">sarah.martinez@example.com</t>
  </si>
  <si>
    <t xml:space="preserve">SEO, Budgeting, Content Strategy, Google Analytics, Email Marketing</t>
  </si>
  <si>
    <t xml:space="preserve">CAN-2026-00024</t>
  </si>
  <si>
    <t xml:space="preserve">Lauren Davis</t>
  </si>
  <si>
    <t xml:space="preserve">lauren.davis@example.com</t>
  </si>
  <si>
    <t xml:space="preserve">GAAP, Excel, Reconciliation, QuickBooks, Benefits Administration</t>
  </si>
  <si>
    <t xml:space="preserve">CAN-2026-00025</t>
  </si>
  <si>
    <t xml:space="preserve">Amanda Thompson</t>
  </si>
  <si>
    <t xml:space="preserve">amanda.thompson@example.com</t>
  </si>
  <si>
    <t xml:space="preserve">HR Generalist</t>
  </si>
  <si>
    <t xml:space="preserve">Recruiting, Onboarding, HRIS, GAAP, Python</t>
  </si>
  <si>
    <t xml:space="preserve">CAN-2026-00026</t>
  </si>
  <si>
    <t xml:space="preserve">Jason White</t>
  </si>
  <si>
    <t xml:space="preserve">jason.white@example.com</t>
  </si>
  <si>
    <t xml:space="preserve">Accounts Payable, QuickBooks, Excel</t>
  </si>
  <si>
    <t xml:space="preserve">CAN-2026-00027</t>
  </si>
  <si>
    <t xml:space="preserve">Amanda Thomas</t>
  </si>
  <si>
    <t xml:space="preserve">amanda.thomas@example.com</t>
  </si>
  <si>
    <t xml:space="preserve">Root Cause Analysis, FMEA, Internal Audit, SPC, ISO 9001</t>
  </si>
  <si>
    <t xml:space="preserve">CAN-2026-00028</t>
  </si>
  <si>
    <t xml:space="preserve">Daniel Brown</t>
  </si>
  <si>
    <t xml:space="preserve">daniel.brown@example.com</t>
  </si>
  <si>
    <t xml:space="preserve">HRIS, Benefits Administration, Employee Relations, Content Strategy, Negotiation</t>
  </si>
  <si>
    <t xml:space="preserve">CAN-2026-00029</t>
  </si>
  <si>
    <t xml:space="preserve">Megan Garcia</t>
  </si>
  <si>
    <t xml:space="preserve">megan.garcia@example.com</t>
  </si>
  <si>
    <t xml:space="preserve">Process Improvement, Lean Six Sigma, Team Leadership, Budgeting, Supply Chain, Root Cause Analysis</t>
  </si>
  <si>
    <t xml:space="preserve">CAN-2026-00030</t>
  </si>
  <si>
    <t xml:space="preserve">Christopher Davis</t>
  </si>
  <si>
    <t xml:space="preserve">christopher.davis@example.com</t>
  </si>
  <si>
    <t xml:space="preserve">Reporting, Excel, Python, Tableau</t>
  </si>
  <si>
    <t xml:space="preserve">CAN-2026-00031</t>
  </si>
  <si>
    <t xml:space="preserve">Kevin Taylor</t>
  </si>
  <si>
    <t xml:space="preserve">kevin.taylor@example.com</t>
  </si>
  <si>
    <t xml:space="preserve">Pipeline Management, B2B Sales, Negotiation, Salesforce, Lean Six Sigma, Supply Chain</t>
  </si>
  <si>
    <t xml:space="preserve">CAN-2026-00032</t>
  </si>
  <si>
    <t xml:space="preserve">Ashley Taylor</t>
  </si>
  <si>
    <t xml:space="preserve">ashley.taylor@example.com</t>
  </si>
  <si>
    <t xml:space="preserve">QuickBooks, Accounts Payable, Excel</t>
  </si>
  <si>
    <t xml:space="preserve">CAN-2026-00033</t>
  </si>
  <si>
    <t xml:space="preserve">Tyler White</t>
  </si>
  <si>
    <t xml:space="preserve">tyler.white@example.com</t>
  </si>
  <si>
    <t xml:space="preserve">Python, Reporting, Excel, SQL, Tableau</t>
  </si>
  <si>
    <t xml:space="preserve">CAN-2026-00034</t>
  </si>
  <si>
    <t xml:space="preserve">Nicole Miller</t>
  </si>
  <si>
    <t xml:space="preserve">nicole.miller@example.com</t>
  </si>
  <si>
    <t xml:space="preserve">Reporting, SQL, Python, Tableau, Google Analytics, Budgeting</t>
  </si>
  <si>
    <t xml:space="preserve">CAN-2026-00035</t>
  </si>
  <si>
    <t xml:space="preserve">Rachel Taylor</t>
  </si>
  <si>
    <t xml:space="preserve">rachel.taylor@example.com</t>
  </si>
  <si>
    <t xml:space="preserve">FMEA, ISO 9001, Root Cause Analysis, Internal Audit, Team Leadership, Git</t>
  </si>
  <si>
    <t xml:space="preserve">CAN-2026-00036</t>
  </si>
  <si>
    <t xml:space="preserve">Christopher Thompson</t>
  </si>
  <si>
    <t xml:space="preserve">christopher.thompson@example.com</t>
  </si>
  <si>
    <t xml:space="preserve">Git, SQL, AWS, Python, JavaScript, Email Marketing</t>
  </si>
  <si>
    <t xml:space="preserve">CAN-2026-00037</t>
  </si>
  <si>
    <t xml:space="preserve">Ashley Miller</t>
  </si>
  <si>
    <t xml:space="preserve">ashley.miller@example.com</t>
  </si>
  <si>
    <t xml:space="preserve">Python, SQL, Tableau, Reporting, Excel</t>
  </si>
  <si>
    <t xml:space="preserve">CAN-2026-00038</t>
  </si>
  <si>
    <t xml:space="preserve">Emily Martinez</t>
  </si>
  <si>
    <t xml:space="preserve">emily.martinez@example.com</t>
  </si>
  <si>
    <t xml:space="preserve">HRIS, Recruiting, Onboarding, Employee Relations, Google Analytics, Python</t>
  </si>
  <si>
    <t xml:space="preserve">Timing: could not start soon enough</t>
  </si>
  <si>
    <t xml:space="preserve">CAN-2026-00039</t>
  </si>
  <si>
    <t xml:space="preserve">Kevin Miller</t>
  </si>
  <si>
    <t xml:space="preserve">kevin.miller@example.com</t>
  </si>
  <si>
    <t xml:space="preserve">Supply Chain, Team Leadership, Budgeting, Process Improvement, Lean Six Sigma, Onboarding, Root Cause Analysis</t>
  </si>
  <si>
    <t xml:space="preserve">CAN-2026-00040</t>
  </si>
  <si>
    <t xml:space="preserve">Megan Martinez</t>
  </si>
  <si>
    <t xml:space="preserve">megan.martinez@example.com</t>
  </si>
  <si>
    <t xml:space="preserve">Employee Relations, Benefits Administration, HRIS, Onboarding, Recruiting, Internal Audit</t>
  </si>
  <si>
    <t xml:space="preserve">Follow-Up</t>
  </si>
  <si>
    <t xml:space="preserve">🔒  PREMIUM FEATURE  ·  Visible in the demo, locked until you get full access. Message the creator (Start Here tab) to unlock it.</t>
  </si>
  <si>
    <t xml:space="preserve">📝  A. Log a follow-up</t>
  </si>
  <si>
    <t xml:space="preserve">What each outcome does</t>
  </si>
  <si>
    <t xml:space="preserve">1. Choose the candidate</t>
  </si>
  <si>
    <t xml:space="preserve">Pick from the list (ID | name)</t>
  </si>
  <si>
    <t xml:space="preserve">Interested: stays in the pool, next follow-up date is updated.</t>
  </si>
  <si>
    <t xml:space="preserve">Candidate (automatic)</t>
  </si>
  <si>
    <t xml:space="preserve">Check that this is the right person</t>
  </si>
  <si>
    <t xml:space="preserve">No response: stays in the pool, set a new follow-up date.</t>
  </si>
  <si>
    <t xml:space="preserve">2. Date you contacted them</t>
  </si>
  <si>
    <t xml:space="preserve">e.g. 10/05/2026 (MM/DD/YYYY)</t>
  </si>
  <si>
    <t xml:space="preserve">Hired elsewhere: follow-up is cleared unless you enter a new date.</t>
  </si>
  <si>
    <t xml:space="preserve">3. Outcome</t>
  </si>
  <si>
    <t xml:space="preserve">What was the result?</t>
  </si>
  <si>
    <t xml:space="preserve">Not interested: marked 'Interested in future roles = No' and removed from follow-up.</t>
  </si>
  <si>
    <t xml:space="preserve">4. Notes (optional)</t>
  </si>
  <si>
    <t xml:space="preserve">Short note</t>
  </si>
  <si>
    <t xml:space="preserve">Do not contact again: marked Do Not Contact and excluded from all matching.</t>
  </si>
  <si>
    <t xml:space="preserve">5. Next follow-up date (optional)</t>
  </si>
  <si>
    <t xml:space="preserve">Leave empty if no more follow-up is needed</t>
  </si>
  <si>
    <t xml:space="preserve">Then click SAVE FOLLOW-UP (or menu Talent Pool &gt; Save follow-up).</t>
  </si>
  <si>
    <t xml:space="preserve">⏰  B. Due now (next 30 days, including overdue)</t>
  </si>
  <si>
    <t xml:space="preserve">Last position applied</t>
  </si>
  <si>
    <t xml:space="preserve">Next follow-up</t>
  </si>
  <si>
    <t xml:space="preserve">Last contact</t>
  </si>
  <si>
    <t xml:space="preserve">Last outcome</t>
  </si>
  <si>
    <t xml:space="preserve">Find Candidates for a Vacancy</t>
  </si>
  <si>
    <t xml:space="preserve">Step 1: choose the vacancy</t>
  </si>
  <si>
    <t xml:space="preserve">Strong matches (70+)</t>
  </si>
  <si>
    <t xml:space="preserve">Possible matches (50-69)</t>
  </si>
  <si>
    <t xml:space="preserve">Candidates in pool</t>
  </si>
  <si>
    <t xml:space="preserve">Minimum experience (years)</t>
  </si>
  <si>
    <t xml:space="preserve">Budget: max salary (USD/year)</t>
  </si>
  <si>
    <t xml:space="preserve">Required skills</t>
  </si>
  <si>
    <t xml:space="preserve">Number of required skills</t>
  </si>
  <si>
    <t xml:space="preserve">🎯  How the score works (out of 100 points)</t>
  </si>
  <si>
    <t xml:space="preserve">Each candidate earns points for each criterion. Add them up and you get the match score. You can change the points in the yellow cells; keep the total at 100.</t>
  </si>
  <si>
    <t xml:space="preserve">Share of the required skills the candidate has. 4 of 5 skills = 80% of the points.</t>
  </si>
  <si>
    <t xml:space="preserve">Experience</t>
  </si>
  <si>
    <t xml:space="preserve">Full points if the candidate has at least the minimum years. Fewer years = a proportion of the points.</t>
  </si>
  <si>
    <t xml:space="preserve">Full points if the candidate lives in the same city as the job.</t>
  </si>
  <si>
    <t xml:space="preserve">Availability</t>
  </si>
  <si>
    <t xml:space="preserve">Full points if they can start within 30 days, half within 60 days.</t>
  </si>
  <si>
    <t xml:space="preserve">Salary</t>
  </si>
  <si>
    <t xml:space="preserve">Full points if their expected salary is within the budget.</t>
  </si>
  <si>
    <t xml:space="preserve">Total points (should be 100)</t>
  </si>
  <si>
    <t xml:space="preserve">Rating: 70 or more = Strong match,   50 to 69 = Possible match,   below 50 = Weak match.   Hired, Do Not Contact and no-consent records are never shown.</t>
  </si>
  <si>
    <t xml:space="preserve">ID</t>
  </si>
  <si>
    <t xml:space="preserve">Years exp.</t>
  </si>
  <si>
    <t xml:space="preserve">Score (0-100)</t>
  </si>
  <si>
    <t xml:space="preserve">Match</t>
  </si>
  <si>
    <t xml:space="preserve">Rating</t>
  </si>
  <si>
    <t xml:space="preserve">Skills pts</t>
  </si>
  <si>
    <t xml:space="preserve">Experience pts</t>
  </si>
  <si>
    <t xml:space="preserve">Department pts</t>
  </si>
  <si>
    <t xml:space="preserve">Location pts</t>
  </si>
  <si>
    <t xml:space="preserve">Availability pts</t>
  </si>
  <si>
    <t xml:space="preserve">Salary pts</t>
  </si>
  <si>
    <t xml:space="preserve">helper: key</t>
  </si>
  <si>
    <t xml:space="preserve">helper: row</t>
  </si>
  <si>
    <t xml:space="preserve">Position ID</t>
  </si>
  <si>
    <t xml:space="preserve">Position Title</t>
  </si>
  <si>
    <t xml:space="preserve">Min. Experience (yrs)</t>
  </si>
  <si>
    <t xml:space="preserve">Max Salary (USD/year)</t>
  </si>
  <si>
    <t xml:space="preserve">Openings (#)</t>
  </si>
  <si>
    <t xml:space="preserve">Date Opened</t>
  </si>
  <si>
    <t xml:space="preserve">Hiring Manager</t>
  </si>
  <si>
    <t xml:space="preserve">Priority</t>
  </si>
  <si>
    <t xml:space="preserve">open # (helper)</t>
  </si>
  <si>
    <t xml:space="preserve">Add a new position in the next empty row (up to row 51). Only positions with Status = Open are counted on the Dashboard.</t>
  </si>
  <si>
    <t xml:space="preserve">POS-001</t>
  </si>
  <si>
    <t xml:space="preserve">Process Improvement</t>
  </si>
  <si>
    <t xml:space="preserve">Lean Six Sigma</t>
  </si>
  <si>
    <t xml:space="preserve">Budgeting</t>
  </si>
  <si>
    <t xml:space="preserve">Team Leadership</t>
  </si>
  <si>
    <t xml:space="preserve">Supply Chain</t>
  </si>
  <si>
    <t xml:space="preserve">Open</t>
  </si>
  <si>
    <t xml:space="preserve">Karen Mitchell</t>
  </si>
  <si>
    <t xml:space="preserve">High</t>
  </si>
  <si>
    <t xml:space="preserve">POS-002</t>
  </si>
  <si>
    <t xml:space="preserve">SQL</t>
  </si>
  <si>
    <t xml:space="preserve">Excel</t>
  </si>
  <si>
    <t xml:space="preserve">Tableau</t>
  </si>
  <si>
    <t xml:space="preserve">Python</t>
  </si>
  <si>
    <t xml:space="preserve">Reporting</t>
  </si>
  <si>
    <t xml:space="preserve">David Brooks</t>
  </si>
  <si>
    <t xml:space="preserve">Medium</t>
  </si>
  <si>
    <t xml:space="preserve">POS-003</t>
  </si>
  <si>
    <t xml:space="preserve">Recruiting</t>
  </si>
  <si>
    <t xml:space="preserve">Employee Relations</t>
  </si>
  <si>
    <t xml:space="preserve">HRIS</t>
  </si>
  <si>
    <t xml:space="preserve">Onboarding</t>
  </si>
  <si>
    <t xml:space="preserve">Benefits Administration</t>
  </si>
  <si>
    <t xml:space="preserve">Linda Foster</t>
  </si>
  <si>
    <t xml:space="preserve">POS-004</t>
  </si>
  <si>
    <t xml:space="preserve">GAAP</t>
  </si>
  <si>
    <t xml:space="preserve">QuickBooks</t>
  </si>
  <si>
    <t xml:space="preserve">Accounts Payable</t>
  </si>
  <si>
    <t xml:space="preserve">Reconciliation</t>
  </si>
  <si>
    <t xml:space="preserve">Closed</t>
  </si>
  <si>
    <t xml:space="preserve">Robert Hayes</t>
  </si>
  <si>
    <t xml:space="preserve">Low</t>
  </si>
  <si>
    <t xml:space="preserve">POS-005</t>
  </si>
  <si>
    <t xml:space="preserve">Salesforce</t>
  </si>
  <si>
    <t xml:space="preserve">CRM</t>
  </si>
  <si>
    <t xml:space="preserve">Negotiation</t>
  </si>
  <si>
    <t xml:space="preserve">B2B Sales</t>
  </si>
  <si>
    <t xml:space="preserve">Pipeline Management</t>
  </si>
  <si>
    <t xml:space="preserve">Steven Parker</t>
  </si>
  <si>
    <t xml:space="preserve">POS-006</t>
  </si>
  <si>
    <t xml:space="preserve">SEO</t>
  </si>
  <si>
    <t xml:space="preserve">Content Strategy</t>
  </si>
  <si>
    <t xml:space="preserve">Google Analytics</t>
  </si>
  <si>
    <t xml:space="preserve">Email Marketing</t>
  </si>
  <si>
    <t xml:space="preserve">Michelle Reed</t>
  </si>
  <si>
    <t xml:space="preserve">POS-007</t>
  </si>
  <si>
    <t xml:space="preserve">ISO 9001</t>
  </si>
  <si>
    <t xml:space="preserve">Root Cause Analysis</t>
  </si>
  <si>
    <t xml:space="preserve">FMEA</t>
  </si>
  <si>
    <t xml:space="preserve">SPC</t>
  </si>
  <si>
    <t xml:space="preserve">Internal Audit</t>
  </si>
  <si>
    <t xml:space="preserve">On Hold</t>
  </si>
  <si>
    <t xml:space="preserve">James Turner</t>
  </si>
  <si>
    <t xml:space="preserve">POS-008</t>
  </si>
  <si>
    <t xml:space="preserve">JavaScript</t>
  </si>
  <si>
    <t xml:space="preserve">Git</t>
  </si>
  <si>
    <t xml:space="preserve">AWS</t>
  </si>
  <si>
    <t xml:space="preserve">Patricia Collins</t>
  </si>
  <si>
    <t xml:space="preserve">Contact Date</t>
  </si>
  <si>
    <t xml:space="preserve">Outcome</t>
  </si>
  <si>
    <t xml:space="preserve">Notes</t>
  </si>
  <si>
    <t xml:space="preserve">Logged At</t>
  </si>
  <si>
    <t xml:space="preserve">🔒 PREMIUM FEATURE: filled automatically by the Follow-Up tool in the full version.</t>
  </si>
  <si>
    <t xml:space="preserve">Initial contact</t>
  </si>
  <si>
    <t xml:space="preserve">Eligible (1/0)</t>
  </si>
  <si>
    <t xml:space="preserve">Skills (0-1)</t>
  </si>
  <si>
    <t xml:space="preserve">Experience (0-1)</t>
  </si>
  <si>
    <t xml:space="preserve">Department (0-1)</t>
  </si>
  <si>
    <t xml:space="preserve">Location (0-1)</t>
  </si>
  <si>
    <t xml:space="preserve">Availability (0-1)</t>
  </si>
  <si>
    <t xml:space="preserve">Salary (0-1)</t>
  </si>
  <si>
    <t xml:space="preserve">Score (points)</t>
  </si>
  <si>
    <t xml:space="preserve">Sort key</t>
  </si>
  <si>
    <t xml:space="preserve">Calculation tab. Do not edit.</t>
  </si>
  <si>
    <t xml:space="preserve">Departments</t>
  </si>
  <si>
    <t xml:space="preserve">Yes/No</t>
  </si>
  <si>
    <t xml:space="preserve">Locations</t>
  </si>
  <si>
    <t xml:space="preserve">Follow-up Outcome</t>
  </si>
  <si>
    <t xml:space="preserve">Position Status</t>
  </si>
  <si>
    <t xml:space="preserve">Edit these lists to change the dropdowns everywhere. Add new skills at the bottom of the Skills column.</t>
  </si>
  <si>
    <t xml:space="preserve">Not interested</t>
  </si>
  <si>
    <t xml:space="preserve">Hired elsewhere</t>
  </si>
  <si>
    <t xml:space="preserve">Do not contact again</t>
  </si>
  <si>
    <t xml:space="preserve">Setting</t>
  </si>
  <si>
    <t xml:space="preserve">Value (edit here, it appears on Start Here)</t>
  </si>
  <si>
    <t xml:space="preserve">Your name</t>
  </si>
  <si>
    <t xml:space="preserve">Mohammad Zargar</t>
  </si>
  <si>
    <t xml:space="preserve">Your title</t>
  </si>
  <si>
    <t xml:space="preserve">Process Improvement &amp; Business Systems</t>
  </si>
  <si>
    <t xml:space="preserve">LinkedIn URL</t>
  </si>
  <si>
    <t xml:space="preserve">https://linkedin.com/mohammad-zargar</t>
  </si>
  <si>
    <t xml:space="preserve">Email</t>
  </si>
  <si>
    <t xml:space="preserve">s.mohammad.zargar@gmail.com</t>
  </si>
  <si>
    <t xml:space="preserve">Email subject</t>
  </si>
  <si>
    <t xml:space="preserve">Full access request: Candidate Talent Pool</t>
  </si>
  <si>
    <t xml:space="preserve">Licensed to</t>
  </si>
  <si>
    <t xml:space="preserve">Demo copy, not licensed for business use</t>
  </si>
  <si>
    <t xml:space="preserve">Edition</t>
  </si>
  <si>
    <t xml:space="preserve">Demo</t>
  </si>
</sst>
</file>

<file path=xl/styles.xml><?xml version="1.0" encoding="utf-8"?>
<styleSheet xmlns="http://schemas.openxmlformats.org/spreadsheetml/2006/main">
  <numFmts count="6">
    <numFmt numFmtId="164" formatCode="General"/>
    <numFmt numFmtId="165" formatCode="General"/>
    <numFmt numFmtId="166" formatCode="\$#,##0"/>
    <numFmt numFmtId="167" formatCode="mm/dd/yyyy"/>
    <numFmt numFmtId="168" formatCode="0"/>
    <numFmt numFmtId="169" formatCode="0.0"/>
  </numFmts>
  <fonts count="79">
    <font>
      <sz val="11"/>
      <color theme="1"/>
      <name val="Calibri"/>
      <family val="2"/>
      <charset val="1"/>
    </font>
    <font>
      <sz val="10"/>
      <name val="Arial"/>
      <family val="0"/>
    </font>
    <font>
      <sz val="10"/>
      <name val="Arial"/>
      <family val="0"/>
    </font>
    <font>
      <sz val="10"/>
      <name val="Arial"/>
      <family val="0"/>
    </font>
    <font>
      <b val="true"/>
      <sz val="9"/>
      <color rgb="FF7FD1C7"/>
      <name val="Arial"/>
      <family val="0"/>
      <charset val="1"/>
    </font>
    <font>
      <b val="true"/>
      <sz val="30"/>
      <color rgb="FFFFFFFF"/>
      <name val="Montserrat"/>
      <family val="0"/>
      <charset val="1"/>
    </font>
    <font>
      <b val="true"/>
      <sz val="13"/>
      <color rgb="FF7FD1C7"/>
      <name val="Montserrat"/>
      <family val="0"/>
      <charset val="1"/>
    </font>
    <font>
      <sz val="11"/>
      <color rgb="FFDDE7F3"/>
      <name val="Arial"/>
      <family val="0"/>
      <charset val="1"/>
    </font>
    <font>
      <i val="true"/>
      <sz val="8"/>
      <color rgb="FF5B6B7F"/>
      <name val="Arial"/>
      <family val="0"/>
      <charset val="1"/>
    </font>
    <font>
      <b val="true"/>
      <sz val="8"/>
      <color rgb="FF9AA5B1"/>
      <name val="Arial"/>
      <family val="0"/>
      <charset val="1"/>
    </font>
    <font>
      <b val="true"/>
      <sz val="8"/>
      <color rgb="FFCDEFEA"/>
      <name val="Arial"/>
      <family val="0"/>
      <charset val="1"/>
    </font>
    <font>
      <b val="true"/>
      <sz val="18"/>
      <color rgb="FF1F3864"/>
      <name val="Montserrat"/>
      <family val="0"/>
      <charset val="1"/>
    </font>
    <font>
      <sz val="10"/>
      <color rgb="FFFFFFFF"/>
      <name val="Arial"/>
      <family val="0"/>
      <charset val="1"/>
    </font>
    <font>
      <sz val="11"/>
      <color rgb="FF5B6B7F"/>
      <name val="Arial"/>
      <family val="0"/>
      <charset val="1"/>
    </font>
    <font>
      <u val="single"/>
      <sz val="11"/>
      <color rgb="FF1155CC"/>
      <name val="Arial"/>
      <family val="0"/>
      <charset val="1"/>
    </font>
    <font>
      <b val="true"/>
      <sz val="10"/>
      <color rgb="FF1B998B"/>
      <name val="Montserrat"/>
      <family val="0"/>
      <charset val="1"/>
    </font>
    <font>
      <b val="true"/>
      <sz val="9"/>
      <color rgb="FF7B8794"/>
      <name val="Arial"/>
      <family val="0"/>
      <charset val="1"/>
    </font>
    <font>
      <sz val="22"/>
      <color rgb="FF222222"/>
      <name val="Arial"/>
      <family val="0"/>
      <charset val="1"/>
    </font>
    <font>
      <b val="true"/>
      <sz val="11"/>
      <color rgb="FF1F3864"/>
      <name val="Montserrat"/>
      <family val="0"/>
      <charset val="1"/>
    </font>
    <font>
      <sz val="10"/>
      <color rgb="FF4A5663"/>
      <name val="Arial"/>
      <family val="0"/>
      <charset val="1"/>
    </font>
    <font>
      <b val="true"/>
      <sz val="24"/>
      <color rgb="FF1B998B"/>
      <name val="Montserrat"/>
      <family val="0"/>
      <charset val="1"/>
    </font>
    <font>
      <b val="true"/>
      <sz val="24"/>
      <color rgb="FF2E8B57"/>
      <name val="Montserrat"/>
      <family val="0"/>
      <charset val="1"/>
    </font>
    <font>
      <b val="true"/>
      <sz val="24"/>
      <color rgb="FFF4A259"/>
      <name val="Montserrat"/>
      <family val="0"/>
      <charset val="1"/>
    </font>
    <font>
      <b val="true"/>
      <sz val="10"/>
      <color rgb="FF1F3864"/>
      <name val="Arial"/>
      <family val="0"/>
      <charset val="1"/>
    </font>
    <font>
      <sz val="10"/>
      <color rgb="FF7B8794"/>
      <name val="Arial"/>
      <family val="0"/>
      <charset val="1"/>
    </font>
    <font>
      <b val="true"/>
      <sz val="10"/>
      <color rgb="FF13766B"/>
      <name val="Montserrat"/>
      <family val="0"/>
      <charset val="1"/>
    </font>
    <font>
      <b val="true"/>
      <sz val="10"/>
      <color rgb="FF13766B"/>
      <name val="Arial"/>
      <family val="0"/>
      <charset val="1"/>
    </font>
    <font>
      <sz val="10"/>
      <color rgb="FF333333"/>
      <name val="Arial"/>
      <family val="0"/>
      <charset val="1"/>
    </font>
    <font>
      <b val="true"/>
      <sz val="10"/>
      <color rgb="FF1F6B41"/>
      <name val="Montserrat"/>
      <family val="0"/>
      <charset val="1"/>
    </font>
    <font>
      <b val="true"/>
      <sz val="10"/>
      <color rgb="FF1F6B41"/>
      <name val="Arial"/>
      <family val="0"/>
      <charset val="1"/>
    </font>
    <font>
      <b val="true"/>
      <sz val="10"/>
      <color rgb="FFB8651B"/>
      <name val="Montserrat"/>
      <family val="0"/>
      <charset val="1"/>
    </font>
    <font>
      <b val="true"/>
      <sz val="10"/>
      <color rgb="FFB8651B"/>
      <name val="Arial"/>
      <family val="0"/>
      <charset val="1"/>
    </font>
    <font>
      <b val="true"/>
      <sz val="10"/>
      <color rgb="FF1F3864"/>
      <name val="Montserrat"/>
      <family val="0"/>
      <charset val="1"/>
    </font>
    <font>
      <b val="true"/>
      <sz val="10"/>
      <color rgb="FF3E4C5E"/>
      <name val="Montserrat"/>
      <family val="0"/>
      <charset val="1"/>
    </font>
    <font>
      <b val="true"/>
      <sz val="10"/>
      <color rgb="FF3E4C5E"/>
      <name val="Arial"/>
      <family val="0"/>
      <charset val="1"/>
    </font>
    <font>
      <b val="true"/>
      <sz val="10"/>
      <color rgb="FF96281B"/>
      <name val="Montserrat"/>
      <family val="0"/>
      <charset val="1"/>
    </font>
    <font>
      <b val="true"/>
      <sz val="10"/>
      <color rgb="FF96281B"/>
      <name val="Arial"/>
      <family val="0"/>
      <charset val="1"/>
    </font>
    <font>
      <sz val="9"/>
      <color rgb="FF9AA5B1"/>
      <name val="Arial"/>
      <family val="0"/>
      <charset val="1"/>
    </font>
    <font>
      <b val="true"/>
      <sz val="12"/>
      <color rgb="FFFFFFFF"/>
      <name val="Arial"/>
      <family val="0"/>
      <charset val="1"/>
    </font>
    <font>
      <b val="true"/>
      <sz val="10"/>
      <color rgb="FF1B998B"/>
      <name val="Arial"/>
      <family val="0"/>
      <charset val="1"/>
    </font>
    <font>
      <b val="true"/>
      <sz val="9"/>
      <color rgb="FF1F3864"/>
      <name val="Arial"/>
      <family val="0"/>
      <charset val="1"/>
    </font>
    <font>
      <sz val="9"/>
      <color rgb="FF333F50"/>
      <name val="Arial"/>
      <family val="0"/>
      <charset val="1"/>
    </font>
    <font>
      <b val="true"/>
      <sz val="20"/>
      <color rgb="FFFFFFFF"/>
      <name val="Montserrat"/>
      <family val="0"/>
      <charset val="1"/>
    </font>
    <font>
      <sz val="10"/>
      <color rgb="FFC9D6EA"/>
      <name val="Arial"/>
      <family val="0"/>
      <charset val="1"/>
    </font>
    <font>
      <b val="true"/>
      <sz val="34"/>
      <color rgb="FF1F3864"/>
      <name val="Montserrat"/>
      <family val="0"/>
      <charset val="1"/>
    </font>
    <font>
      <b val="true"/>
      <sz val="34"/>
      <color rgb="FF2E8B57"/>
      <name val="Montserrat"/>
      <family val="0"/>
      <charset val="1"/>
    </font>
    <font>
      <b val="true"/>
      <sz val="34"/>
      <color rgb="FF1B998B"/>
      <name val="Montserrat"/>
      <family val="0"/>
      <charset val="1"/>
    </font>
    <font>
      <b val="true"/>
      <sz val="34"/>
      <color rgb="FFF4A259"/>
      <name val="Montserrat"/>
      <family val="0"/>
      <charset val="1"/>
    </font>
    <font>
      <sz val="9"/>
      <color rgb="FF7B8794"/>
      <name val="Arial"/>
      <family val="0"/>
      <charset val="1"/>
    </font>
    <font>
      <b val="true"/>
      <sz val="10"/>
      <color rgb="FF27323F"/>
      <name val="Arial"/>
      <family val="0"/>
      <charset val="1"/>
    </font>
    <font>
      <sz val="10"/>
      <color rgb="FF27323F"/>
      <name val="Arial"/>
      <family val="0"/>
      <charset val="1"/>
    </font>
    <font>
      <i val="true"/>
      <sz val="9"/>
      <color rgb="FF777777"/>
      <name val="Arial"/>
      <family val="0"/>
      <charset val="1"/>
    </font>
    <font>
      <b val="true"/>
      <sz val="9"/>
      <color rgb="FF777777"/>
      <name val="Arial"/>
      <family val="0"/>
      <charset val="1"/>
    </font>
    <font>
      <sz val="9"/>
      <color rgb="FF222222"/>
      <name val="Arial"/>
      <family val="0"/>
      <charset val="1"/>
    </font>
    <font>
      <b val="true"/>
      <sz val="18"/>
      <color rgb="FF000000"/>
      <name val="Calibri"/>
      <family val="2"/>
    </font>
    <font>
      <sz val="10"/>
      <color rgb="FF000000"/>
      <name val="Calibri"/>
      <family val="2"/>
    </font>
    <font>
      <b val="true"/>
      <sz val="10"/>
      <color rgb="FF222222"/>
      <name val="Arial"/>
      <family val="0"/>
      <charset val="1"/>
    </font>
    <font>
      <sz val="10"/>
      <color rgb="FF0000FF"/>
      <name val="Arial"/>
      <family val="0"/>
      <charset val="1"/>
    </font>
    <font>
      <sz val="10"/>
      <color rgb="FF555555"/>
      <name val="Arial"/>
      <family val="0"/>
      <charset val="1"/>
    </font>
    <font>
      <b val="true"/>
      <sz val="10"/>
      <color rgb="FFFFFFFF"/>
      <name val="Arial"/>
      <family val="0"/>
      <charset val="1"/>
    </font>
    <font>
      <sz val="10"/>
      <color rgb="FF222222"/>
      <name val="Arial"/>
      <family val="0"/>
      <charset val="1"/>
    </font>
    <font>
      <b val="true"/>
      <sz val="10"/>
      <color rgb="FFFFD966"/>
      <name val="Arial"/>
      <family val="0"/>
      <charset val="1"/>
    </font>
    <font>
      <sz val="9"/>
      <color rgb="FF555555"/>
      <name val="Arial"/>
      <family val="0"/>
      <charset val="1"/>
    </font>
    <font>
      <b val="true"/>
      <sz val="10"/>
      <color rgb="FFF4A259"/>
      <name val="Arial"/>
      <family val="0"/>
      <charset val="1"/>
    </font>
    <font>
      <b val="true"/>
      <sz val="11"/>
      <color rgb="FFC0392B"/>
      <name val="Arial"/>
      <family val="0"/>
      <charset val="1"/>
    </font>
    <font>
      <b val="true"/>
      <sz val="11"/>
      <color rgb="FF222222"/>
      <name val="Arial"/>
      <family val="0"/>
      <charset val="1"/>
    </font>
    <font>
      <b val="true"/>
      <sz val="12"/>
      <color rgb="FF0000FF"/>
      <name val="Arial"/>
      <family val="0"/>
      <charset val="1"/>
    </font>
    <font>
      <b val="true"/>
      <sz val="9"/>
      <color rgb="FF1F6B41"/>
      <name val="Arial"/>
      <family val="0"/>
      <charset val="1"/>
    </font>
    <font>
      <b val="true"/>
      <sz val="9"/>
      <color rgb="FFB8651B"/>
      <name val="Arial"/>
      <family val="0"/>
      <charset val="1"/>
    </font>
    <font>
      <b val="true"/>
      <sz val="26"/>
      <color rgb="FF2E8B57"/>
      <name val="Montserrat"/>
      <family val="0"/>
      <charset val="1"/>
    </font>
    <font>
      <b val="true"/>
      <sz val="26"/>
      <color rgb="FFF4A259"/>
      <name val="Montserrat"/>
      <family val="0"/>
      <charset val="1"/>
    </font>
    <font>
      <b val="true"/>
      <sz val="26"/>
      <color rgb="FF1F3864"/>
      <name val="Montserrat"/>
      <family val="0"/>
      <charset val="1"/>
    </font>
    <font>
      <sz val="9"/>
      <color rgb="FF777777"/>
      <name val="Arial"/>
      <family val="0"/>
      <charset val="1"/>
    </font>
    <font>
      <i val="true"/>
      <sz val="9"/>
      <color rgb="FF555555"/>
      <name val="Arial"/>
      <family val="0"/>
      <charset val="1"/>
    </font>
    <font>
      <b val="true"/>
      <sz val="9"/>
      <color rgb="FFC0392B"/>
      <name val="Arial"/>
      <family val="0"/>
      <charset val="1"/>
    </font>
    <font>
      <sz val="8"/>
      <color rgb="FFAAAAAA"/>
      <name val="Arial"/>
      <family val="0"/>
      <charset val="1"/>
    </font>
    <font>
      <sz val="10"/>
      <color rgb="FF1B998B"/>
      <name val="Arial"/>
      <family val="0"/>
      <charset val="1"/>
    </font>
    <font>
      <i val="true"/>
      <sz val="9"/>
      <color rgb="FF666666"/>
      <name val="Arial"/>
      <family val="0"/>
      <charset val="1"/>
    </font>
    <font>
      <b val="true"/>
      <sz val="10"/>
      <color rgb="FFC0392B"/>
      <name val="Arial"/>
      <family val="0"/>
      <charset val="1"/>
    </font>
  </fonts>
  <fills count="17">
    <fill>
      <patternFill patternType="none"/>
    </fill>
    <fill>
      <patternFill patternType="gray125"/>
    </fill>
    <fill>
      <patternFill patternType="solid">
        <fgColor rgb="FF1F3864"/>
        <bgColor rgb="FF27323F"/>
      </patternFill>
    </fill>
    <fill>
      <patternFill patternType="solid">
        <fgColor rgb="FF1B998B"/>
        <bgColor rgb="FF2E8B57"/>
      </patternFill>
    </fill>
    <fill>
      <patternFill patternType="solid">
        <fgColor rgb="FFF4F7FB"/>
        <bgColor rgb="FFF5F6F8"/>
      </patternFill>
    </fill>
    <fill>
      <patternFill patternType="solid">
        <fgColor rgb="FFFFFFFF"/>
        <bgColor rgb="FFF4F7FB"/>
      </patternFill>
    </fill>
    <fill>
      <patternFill patternType="solid">
        <fgColor rgb="FFE3F4F1"/>
        <bgColor rgb="FFE4F3EA"/>
      </patternFill>
    </fill>
    <fill>
      <patternFill patternType="solid">
        <fgColor rgb="FFFDF0E1"/>
        <bgColor rgb="FFFBE9E7"/>
      </patternFill>
    </fill>
    <fill>
      <patternFill patternType="solid">
        <fgColor rgb="FFE8EDF6"/>
        <bgColor rgb="FFEDF0F5"/>
      </patternFill>
    </fill>
    <fill>
      <patternFill patternType="solid">
        <fgColor rgb="FFE4F3EA"/>
        <bgColor rgb="FFE3F4F1"/>
      </patternFill>
    </fill>
    <fill>
      <patternFill patternType="solid">
        <fgColor rgb="FFEDF0F4"/>
        <bgColor rgb="FFEDF0F5"/>
      </patternFill>
    </fill>
    <fill>
      <patternFill patternType="solid">
        <fgColor rgb="FFFBE9E7"/>
        <bgColor rgb="FFFDF0E1"/>
      </patternFill>
    </fill>
    <fill>
      <patternFill patternType="solid">
        <fgColor rgb="FFFFF8E1"/>
        <bgColor rgb="FFFDF0E1"/>
      </patternFill>
    </fill>
    <fill>
      <patternFill patternType="solid">
        <fgColor rgb="FFF5F6F8"/>
        <bgColor rgb="FFF4F7FB"/>
      </patternFill>
    </fill>
    <fill>
      <patternFill patternType="solid">
        <fgColor rgb="FFF4A259"/>
        <bgColor rgb="FFFFD966"/>
      </patternFill>
    </fill>
    <fill>
      <patternFill patternType="solid">
        <fgColor rgb="FFD9DADB"/>
        <bgColor rgb="FFD0D5DD"/>
      </patternFill>
    </fill>
    <fill>
      <patternFill patternType="solid">
        <fgColor rgb="FF2E8B57"/>
        <bgColor rgb="FF3C763D"/>
      </patternFill>
    </fill>
  </fills>
  <borders count="34">
    <border diagonalUp="false" diagonalDown="false">
      <left/>
      <right/>
      <top/>
      <bottom/>
      <diagonal/>
    </border>
    <border diagonalUp="false" diagonalDown="false">
      <left/>
      <right/>
      <top style="thick">
        <color rgb="FF1B998B"/>
      </top>
      <bottom/>
      <diagonal/>
    </border>
    <border diagonalUp="false" diagonalDown="false">
      <left style="thick">
        <color rgb="FFF4F7FB"/>
      </left>
      <right/>
      <top/>
      <bottom/>
      <diagonal/>
    </border>
    <border diagonalUp="false" diagonalDown="false">
      <left style="thick">
        <color rgb="FFF4F7FB"/>
      </left>
      <right style="thick">
        <color rgb="FFF4F7FB"/>
      </right>
      <top/>
      <bottom/>
      <diagonal/>
    </border>
    <border diagonalUp="false" diagonalDown="false">
      <left style="thick">
        <color rgb="FFF4F7FB"/>
      </left>
      <right style="thick">
        <color rgb="FFF4F7FB"/>
      </right>
      <top style="thick">
        <color rgb="FF1B998B"/>
      </top>
      <bottom/>
      <diagonal/>
    </border>
    <border diagonalUp="false" diagonalDown="false">
      <left style="thick">
        <color rgb="FFF4F7FB"/>
      </left>
      <right style="thick">
        <color rgb="FFF4F7FB"/>
      </right>
      <top style="thick">
        <color rgb="FF2E8B57"/>
      </top>
      <bottom/>
      <diagonal/>
    </border>
    <border diagonalUp="false" diagonalDown="false">
      <left style="thick">
        <color rgb="FFF4F7FB"/>
      </left>
      <right style="thick">
        <color rgb="FFF4F7FB"/>
      </right>
      <top style="thick">
        <color rgb="FFF4A259"/>
      </top>
      <bottom/>
      <diagonal/>
    </border>
    <border diagonalUp="false" diagonalDown="false">
      <left style="thick">
        <color rgb="FF1F3864"/>
      </left>
      <right/>
      <top/>
      <bottom style="thin">
        <color rgb="FFE3E7ED"/>
      </bottom>
      <diagonal/>
    </border>
    <border diagonalUp="false" diagonalDown="false">
      <left/>
      <right/>
      <top/>
      <bottom style="thin">
        <color rgb="FFE3E7ED"/>
      </bottom>
      <diagonal/>
    </border>
    <border diagonalUp="false" diagonalDown="false">
      <left style="thick">
        <color rgb="FF1B998B"/>
      </left>
      <right/>
      <top/>
      <bottom style="thin">
        <color rgb="FFE3E7ED"/>
      </bottom>
      <diagonal/>
    </border>
    <border diagonalUp="false" diagonalDown="false">
      <left style="thick">
        <color rgb="FF5B6C81"/>
      </left>
      <right/>
      <top/>
      <bottom style="thin">
        <color rgb="FFE3E7ED"/>
      </bottom>
      <diagonal/>
    </border>
    <border diagonalUp="false" diagonalDown="false">
      <left style="thick">
        <color rgb="FFF4A259"/>
      </left>
      <right/>
      <top/>
      <bottom style="thin">
        <color rgb="FFE3E7ED"/>
      </bottom>
      <diagonal/>
    </border>
    <border diagonalUp="false" diagonalDown="false">
      <left style="thick">
        <color rgb="FF2E8B57"/>
      </left>
      <right/>
      <top/>
      <bottom style="thin">
        <color rgb="FFE3E7ED"/>
      </bottom>
      <diagonal/>
    </border>
    <border diagonalUp="false" diagonalDown="false">
      <left style="thick">
        <color rgb="FF1B998B"/>
      </left>
      <right/>
      <top/>
      <bottom style="medium">
        <color rgb="FF1B998B"/>
      </bottom>
      <diagonal/>
    </border>
    <border diagonalUp="false" diagonalDown="false">
      <left style="thick">
        <color rgb="FF2E8B57"/>
      </left>
      <right/>
      <top/>
      <bottom style="medium">
        <color rgb="FF2E8B57"/>
      </bottom>
      <diagonal/>
    </border>
    <border diagonalUp="false" diagonalDown="false">
      <left style="thick">
        <color rgb="FFF4A259"/>
      </left>
      <right/>
      <top/>
      <bottom style="medium">
        <color rgb="FFF4A259"/>
      </bottom>
      <diagonal/>
    </border>
    <border diagonalUp="false" diagonalDown="false">
      <left style="thick">
        <color rgb="FF1F3864"/>
      </left>
      <right/>
      <top/>
      <bottom style="medium">
        <color rgb="FF1F3864"/>
      </bottom>
      <diagonal/>
    </border>
    <border diagonalUp="false" diagonalDown="false">
      <left style="thick">
        <color rgb="FF5B6C81"/>
      </left>
      <right/>
      <top/>
      <bottom style="medium">
        <color rgb="FF5B6C81"/>
      </bottom>
      <diagonal/>
    </border>
    <border diagonalUp="false" diagonalDown="false">
      <left style="thick">
        <color rgb="FFC0392B"/>
      </left>
      <right/>
      <top/>
      <bottom style="medium">
        <color rgb="FFC0392B"/>
      </bottom>
      <diagonal/>
    </border>
    <border diagonalUp="false" diagonalDown="false">
      <left style="thick">
        <color rgb="FFF4F7FB"/>
      </left>
      <right style="thick">
        <color rgb="FFF4F7FB"/>
      </right>
      <top style="thick">
        <color rgb="FF1F3864"/>
      </top>
      <bottom style="thick">
        <color rgb="FFF4F7FB"/>
      </bottom>
      <diagonal/>
    </border>
    <border diagonalUp="false" diagonalDown="false">
      <left style="thick">
        <color rgb="FFF4F7FB"/>
      </left>
      <right style="thick">
        <color rgb="FFF4F7FB"/>
      </right>
      <top style="thick">
        <color rgb="FF2E8B57"/>
      </top>
      <bottom style="thick">
        <color rgb="FFF4F7FB"/>
      </bottom>
      <diagonal/>
    </border>
    <border diagonalUp="false" diagonalDown="false">
      <left style="thick">
        <color rgb="FFF4F7FB"/>
      </left>
      <right style="thick">
        <color rgb="FFF4F7FB"/>
      </right>
      <top style="thick">
        <color rgb="FF1B998B"/>
      </top>
      <bottom style="thick">
        <color rgb="FFF4F7FB"/>
      </bottom>
      <diagonal/>
    </border>
    <border diagonalUp="false" diagonalDown="false">
      <left style="thick">
        <color rgb="FFF4F7FB"/>
      </left>
      <right style="thick">
        <color rgb="FFF4F7FB"/>
      </right>
      <top style="thick">
        <color rgb="FFF4A259"/>
      </top>
      <bottom style="thick">
        <color rgb="FFF4F7FB"/>
      </bottom>
      <diagonal/>
    </border>
    <border diagonalUp="false" diagonalDown="false">
      <left style="thick">
        <color rgb="FFF4F7FB"/>
      </left>
      <right style="thick">
        <color rgb="FFF4F7FB"/>
      </right>
      <top style="thick">
        <color rgb="FFF4F7FB"/>
      </top>
      <bottom style="thick">
        <color rgb="FFF4F7FB"/>
      </bottom>
      <diagonal/>
    </border>
    <border diagonalUp="false" diagonalDown="false">
      <left/>
      <right/>
      <top/>
      <bottom style="medium">
        <color rgb="FF1F3864"/>
      </bottom>
      <diagonal/>
    </border>
    <border diagonalUp="false" diagonalDown="false">
      <left style="thick">
        <color rgb="FFF4F7FB"/>
      </left>
      <right/>
      <top/>
      <bottom style="medium">
        <color rgb="FFF4A259"/>
      </bottom>
      <diagonal/>
    </border>
    <border diagonalUp="false" diagonalDown="false">
      <left/>
      <right/>
      <top/>
      <bottom style="medium">
        <color rgb="FFF4A259"/>
      </bottom>
      <diagonal/>
    </border>
    <border diagonalUp="false" diagonalDown="false">
      <left/>
      <right/>
      <top/>
      <bottom style="thin">
        <color rgb="FFD9DADB"/>
      </bottom>
      <diagonal/>
    </border>
    <border diagonalUp="false" diagonalDown="false">
      <left style="thick">
        <color rgb="FFF4F7FB"/>
      </left>
      <right/>
      <top/>
      <bottom style="thin">
        <color rgb="FFD9DADB"/>
      </bottom>
      <diagonal/>
    </border>
    <border diagonalUp="false" diagonalDown="false">
      <left/>
      <right/>
      <top/>
      <bottom style="thin">
        <color rgb="FFEDF0F5"/>
      </bottom>
      <diagonal/>
    </border>
    <border diagonalUp="false" diagonalDown="false">
      <left style="thick">
        <color rgb="FFF4F7FB"/>
      </left>
      <right/>
      <top/>
      <bottom style="thin">
        <color rgb="FFEDF0F5"/>
      </bottom>
      <diagonal/>
    </border>
    <border diagonalUp="false" diagonalDown="false">
      <left/>
      <right/>
      <top/>
      <bottom style="medium">
        <color rgb="FF1B998B"/>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ck">
        <color rgb="FFFFFFFF"/>
      </left>
      <right style="thick">
        <color rgb="FFFFFFFF"/>
      </right>
      <top style="thick">
        <color rgb="FFFFFFFF"/>
      </top>
      <bottom style="thick">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1" shrinkToFit="false"/>
      <protection locked="true" hidden="false"/>
    </xf>
    <xf numFmtId="164" fontId="10" fillId="3" borderId="2" xfId="0" applyFont="true" applyBorder="true" applyAlignment="true" applyProtection="false">
      <alignment horizontal="general" vertical="center" textRotation="0" wrapText="false" indent="1" shrinkToFit="false"/>
      <protection locked="true" hidden="false"/>
    </xf>
    <xf numFmtId="164" fontId="11" fillId="5" borderId="0" xfId="0" applyFont="true" applyBorder="true" applyAlignment="true" applyProtection="false">
      <alignment horizontal="general" vertical="center" textRotation="0" wrapText="false" indent="1" shrinkToFit="false"/>
      <protection locked="true" hidden="false"/>
    </xf>
    <xf numFmtId="164" fontId="12" fillId="3" borderId="2" xfId="0" applyFont="true" applyBorder="true" applyAlignment="true" applyProtection="false">
      <alignment horizontal="general" vertical="top" textRotation="0" wrapText="true" indent="1" shrinkToFit="false"/>
      <protection locked="true" hidden="false"/>
    </xf>
    <xf numFmtId="164" fontId="13" fillId="5" borderId="0" xfId="0" applyFont="true" applyBorder="true" applyAlignment="true" applyProtection="false">
      <alignment horizontal="general" vertical="center" textRotation="0" wrapText="false" indent="1" shrinkToFit="false"/>
      <protection locked="true" hidden="false"/>
    </xf>
    <xf numFmtId="164" fontId="14" fillId="5" borderId="0" xfId="0" applyFont="true" applyBorder="true" applyAlignment="true" applyProtection="false">
      <alignment horizontal="general" vertical="center" textRotation="0" wrapText="false" indent="1"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5" fillId="5" borderId="0"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general" vertical="center" textRotation="0" wrapText="false" indent="1" shrinkToFit="false"/>
      <protection locked="true" hidden="false"/>
    </xf>
    <xf numFmtId="164" fontId="17" fillId="6" borderId="3" xfId="0" applyFont="true" applyBorder="true" applyAlignment="true" applyProtection="false">
      <alignment horizontal="left" vertical="center" textRotation="0" wrapText="false" indent="1" shrinkToFit="false"/>
      <protection locked="true" hidden="false"/>
    </xf>
    <xf numFmtId="164" fontId="17" fillId="7" borderId="3" xfId="0" applyFont="true" applyBorder="true" applyAlignment="true" applyProtection="false">
      <alignment horizontal="left" vertical="center" textRotation="0" wrapText="false" indent="1" shrinkToFit="false"/>
      <protection locked="true" hidden="false"/>
    </xf>
    <xf numFmtId="164" fontId="17" fillId="8" borderId="3" xfId="0" applyFont="true" applyBorder="true" applyAlignment="true" applyProtection="false">
      <alignment horizontal="left" vertical="center" textRotation="0" wrapText="false" indent="1" shrinkToFit="false"/>
      <protection locked="true" hidden="false"/>
    </xf>
    <xf numFmtId="164" fontId="18" fillId="6" borderId="3" xfId="0" applyFont="true" applyBorder="true" applyAlignment="true" applyProtection="false">
      <alignment horizontal="general" vertical="center" textRotation="0" wrapText="false" indent="1" shrinkToFit="false"/>
      <protection locked="true" hidden="false"/>
    </xf>
    <xf numFmtId="164" fontId="18" fillId="7" borderId="3" xfId="0" applyFont="true" applyBorder="true" applyAlignment="true" applyProtection="false">
      <alignment horizontal="general" vertical="center" textRotation="0" wrapText="false" indent="1" shrinkToFit="false"/>
      <protection locked="true" hidden="false"/>
    </xf>
    <xf numFmtId="164" fontId="18" fillId="8" borderId="3" xfId="0" applyFont="true" applyBorder="true" applyAlignment="true" applyProtection="false">
      <alignment horizontal="general" vertical="center" textRotation="0" wrapText="false" indent="1" shrinkToFit="false"/>
      <protection locked="true" hidden="false"/>
    </xf>
    <xf numFmtId="164" fontId="19" fillId="6" borderId="3" xfId="0" applyFont="true" applyBorder="true" applyAlignment="true" applyProtection="false">
      <alignment horizontal="general" vertical="top" textRotation="0" wrapText="true" indent="1" shrinkToFit="false"/>
      <protection locked="true" hidden="false"/>
    </xf>
    <xf numFmtId="164" fontId="19" fillId="7" borderId="3" xfId="0" applyFont="true" applyBorder="true" applyAlignment="true" applyProtection="false">
      <alignment horizontal="general" vertical="top" textRotation="0" wrapText="true" indent="1" shrinkToFit="false"/>
      <protection locked="true" hidden="false"/>
    </xf>
    <xf numFmtId="164" fontId="19" fillId="8" borderId="3" xfId="0" applyFont="true" applyBorder="true" applyAlignment="true" applyProtection="false">
      <alignment horizontal="general" vertical="top" textRotation="0" wrapText="true" indent="1" shrinkToFit="false"/>
      <protection locked="true" hidden="false"/>
    </xf>
    <xf numFmtId="164" fontId="20" fillId="5" borderId="4" xfId="0" applyFont="true" applyBorder="true" applyAlignment="true" applyProtection="false">
      <alignment horizontal="general" vertical="center" textRotation="0" wrapText="false" indent="1" shrinkToFit="false"/>
      <protection locked="true" hidden="false"/>
    </xf>
    <xf numFmtId="164" fontId="21" fillId="5" borderId="5" xfId="0" applyFont="true" applyBorder="true" applyAlignment="true" applyProtection="false">
      <alignment horizontal="general" vertical="center" textRotation="0" wrapText="false" indent="1" shrinkToFit="false"/>
      <protection locked="true" hidden="false"/>
    </xf>
    <xf numFmtId="164" fontId="22" fillId="5" borderId="6" xfId="0" applyFont="true" applyBorder="true" applyAlignment="true" applyProtection="false">
      <alignment horizontal="general" vertical="center" textRotation="0" wrapText="false" indent="1" shrinkToFit="false"/>
      <protection locked="true" hidden="false"/>
    </xf>
    <xf numFmtId="164" fontId="18" fillId="5" borderId="3" xfId="0" applyFont="true" applyBorder="true" applyAlignment="true" applyProtection="false">
      <alignment horizontal="general" vertical="center" textRotation="0" wrapText="false" indent="1" shrinkToFit="false"/>
      <protection locked="true" hidden="false"/>
    </xf>
    <xf numFmtId="164" fontId="19" fillId="5" borderId="3" xfId="0" applyFont="true" applyBorder="true" applyAlignment="true" applyProtection="false">
      <alignment horizontal="general" vertical="top" textRotation="0" wrapText="true" indent="1" shrinkToFit="false"/>
      <protection locked="true" hidden="false"/>
    </xf>
    <xf numFmtId="164" fontId="23" fillId="5" borderId="7" xfId="0" applyFont="true" applyBorder="true" applyAlignment="true" applyProtection="false">
      <alignment horizontal="general" vertical="center" textRotation="0" wrapText="false" indent="1" shrinkToFit="false"/>
      <protection locked="true" hidden="false"/>
    </xf>
    <xf numFmtId="164" fontId="19" fillId="5" borderId="8" xfId="0" applyFont="true" applyBorder="true" applyAlignment="true" applyProtection="false">
      <alignment horizontal="general" vertical="center" textRotation="0" wrapText="true" indent="0" shrinkToFit="false"/>
      <protection locked="true" hidden="false"/>
    </xf>
    <xf numFmtId="164" fontId="23" fillId="5" borderId="9" xfId="0" applyFont="true" applyBorder="true" applyAlignment="true" applyProtection="false">
      <alignment horizontal="general" vertical="center" textRotation="0" wrapText="false" indent="1" shrinkToFit="false"/>
      <protection locked="true" hidden="false"/>
    </xf>
    <xf numFmtId="164" fontId="23" fillId="5" borderId="10" xfId="0" applyFont="true" applyBorder="true" applyAlignment="true" applyProtection="false">
      <alignment horizontal="general" vertical="center" textRotation="0" wrapText="false" indent="1" shrinkToFit="false"/>
      <protection locked="true" hidden="false"/>
    </xf>
    <xf numFmtId="164" fontId="23" fillId="5" borderId="11" xfId="0" applyFont="true" applyBorder="true" applyAlignment="true" applyProtection="false">
      <alignment horizontal="general" vertical="center" textRotation="0" wrapText="false" indent="1" shrinkToFit="false"/>
      <protection locked="true" hidden="false"/>
    </xf>
    <xf numFmtId="164" fontId="23" fillId="5" borderId="12" xfId="0" applyFont="true" applyBorder="true" applyAlignment="true" applyProtection="false">
      <alignment horizontal="general" vertical="center" textRotation="0" wrapText="false" indent="1" shrinkToFit="false"/>
      <protection locked="true" hidden="false"/>
    </xf>
    <xf numFmtId="164" fontId="11" fillId="4" borderId="0" xfId="0" applyFont="true" applyBorder="true" applyAlignment="true" applyProtection="false">
      <alignment horizontal="general" vertical="center" textRotation="0" wrapText="false" indent="0" shrinkToFit="false"/>
      <protection locked="true" hidden="false"/>
    </xf>
    <xf numFmtId="164" fontId="24" fillId="4" borderId="0" xfId="0" applyFont="true" applyBorder="true" applyAlignment="true" applyProtection="false">
      <alignment horizontal="general" vertical="center" textRotation="0" wrapText="false" indent="0" shrinkToFit="false"/>
      <protection locked="true" hidden="false"/>
    </xf>
    <xf numFmtId="164" fontId="25" fillId="6" borderId="13" xfId="0" applyFont="true" applyBorder="true" applyAlignment="true" applyProtection="false">
      <alignment horizontal="general" vertical="center" textRotation="0" wrapText="false" indent="1" shrinkToFit="false"/>
      <protection locked="true" hidden="false"/>
    </xf>
    <xf numFmtId="164" fontId="26" fillId="5" borderId="8" xfId="0" applyFont="true" applyBorder="true" applyAlignment="true" applyProtection="false">
      <alignment horizontal="general" vertical="top" textRotation="0" wrapText="true" indent="1" shrinkToFit="false"/>
      <protection locked="true" hidden="false"/>
    </xf>
    <xf numFmtId="164" fontId="27" fillId="5" borderId="8" xfId="0" applyFont="true" applyBorder="true" applyAlignment="true" applyProtection="false">
      <alignment horizontal="general" vertical="top" textRotation="0" wrapText="true" indent="0" shrinkToFit="false"/>
      <protection locked="true" hidden="false"/>
    </xf>
    <xf numFmtId="164" fontId="28" fillId="9" borderId="14" xfId="0" applyFont="true" applyBorder="true" applyAlignment="true" applyProtection="false">
      <alignment horizontal="general" vertical="center" textRotation="0" wrapText="false" indent="1" shrinkToFit="false"/>
      <protection locked="true" hidden="false"/>
    </xf>
    <xf numFmtId="164" fontId="29" fillId="5" borderId="8" xfId="0" applyFont="true" applyBorder="true" applyAlignment="true" applyProtection="false">
      <alignment horizontal="general" vertical="top" textRotation="0" wrapText="true" indent="1" shrinkToFit="false"/>
      <protection locked="true" hidden="false"/>
    </xf>
    <xf numFmtId="164" fontId="30" fillId="7" borderId="15" xfId="0" applyFont="true" applyBorder="true" applyAlignment="true" applyProtection="false">
      <alignment horizontal="general" vertical="center" textRotation="0" wrapText="false" indent="1" shrinkToFit="false"/>
      <protection locked="true" hidden="false"/>
    </xf>
    <xf numFmtId="164" fontId="31" fillId="5" borderId="8" xfId="0" applyFont="true" applyBorder="true" applyAlignment="true" applyProtection="false">
      <alignment horizontal="general" vertical="top" textRotation="0" wrapText="true" indent="1" shrinkToFit="false"/>
      <protection locked="true" hidden="false"/>
    </xf>
    <xf numFmtId="164" fontId="32" fillId="8" borderId="16" xfId="0" applyFont="true" applyBorder="true" applyAlignment="true" applyProtection="false">
      <alignment horizontal="general" vertical="center" textRotation="0" wrapText="false" indent="1" shrinkToFit="false"/>
      <protection locked="true" hidden="false"/>
    </xf>
    <xf numFmtId="164" fontId="23" fillId="5" borderId="8" xfId="0" applyFont="true" applyBorder="true" applyAlignment="true" applyProtection="false">
      <alignment horizontal="general" vertical="top" textRotation="0" wrapText="true" indent="1" shrinkToFit="false"/>
      <protection locked="true" hidden="false"/>
    </xf>
    <xf numFmtId="164" fontId="33" fillId="10" borderId="17" xfId="0" applyFont="true" applyBorder="true" applyAlignment="true" applyProtection="false">
      <alignment horizontal="general" vertical="center" textRotation="0" wrapText="false" indent="1" shrinkToFit="false"/>
      <protection locked="true" hidden="false"/>
    </xf>
    <xf numFmtId="164" fontId="34" fillId="5" borderId="8" xfId="0" applyFont="true" applyBorder="true" applyAlignment="true" applyProtection="false">
      <alignment horizontal="general" vertical="top" textRotation="0" wrapText="true" indent="1" shrinkToFit="false"/>
      <protection locked="true" hidden="false"/>
    </xf>
    <xf numFmtId="164" fontId="35" fillId="11" borderId="18" xfId="0" applyFont="true" applyBorder="true" applyAlignment="true" applyProtection="false">
      <alignment horizontal="general" vertical="center" textRotation="0" wrapText="false" indent="1" shrinkToFit="false"/>
      <protection locked="true" hidden="false"/>
    </xf>
    <xf numFmtId="164" fontId="36" fillId="5" borderId="8" xfId="0" applyFont="true" applyBorder="true" applyAlignment="true" applyProtection="false">
      <alignment horizontal="general" vertical="top" textRotation="0" wrapText="true" indent="1" shrinkToFit="false"/>
      <protection locked="true" hidden="false"/>
    </xf>
    <xf numFmtId="164" fontId="37" fillId="4" borderId="0" xfId="0" applyFont="true" applyBorder="true" applyAlignment="true" applyProtection="false">
      <alignment horizontal="center" vertical="center" textRotation="0" wrapText="false" indent="0" shrinkToFit="false"/>
      <protection locked="true" hidden="false"/>
    </xf>
    <xf numFmtId="164" fontId="38" fillId="2" borderId="0" xfId="0" applyFont="true" applyBorder="true" applyAlignment="true" applyProtection="false">
      <alignment horizontal="general" vertical="center" textRotation="0" wrapText="false" indent="1" shrinkToFit="false"/>
      <protection locked="true" hidden="false"/>
    </xf>
    <xf numFmtId="164" fontId="39" fillId="4" borderId="0" xfId="0" applyFont="true" applyBorder="true" applyAlignment="true" applyProtection="false">
      <alignment horizontal="general" vertical="center" textRotation="0" wrapText="false" indent="1" shrinkToFit="false"/>
      <protection locked="true" hidden="false"/>
    </xf>
    <xf numFmtId="164" fontId="40" fillId="4" borderId="0" xfId="0" applyFont="true" applyBorder="true" applyAlignment="true" applyProtection="false">
      <alignment horizontal="general" vertical="top" textRotation="0" wrapText="false" indent="1" shrinkToFit="false"/>
      <protection locked="true" hidden="false"/>
    </xf>
    <xf numFmtId="164" fontId="41" fillId="4" borderId="0" xfId="0" applyFont="true" applyBorder="true" applyAlignment="true" applyProtection="false">
      <alignment horizontal="general" vertical="top" textRotation="0" wrapText="true" indent="0" shrinkToFit="false"/>
      <protection locked="true" hidden="false"/>
    </xf>
    <xf numFmtId="164" fontId="42" fillId="2" borderId="0" xfId="0" applyFont="true" applyBorder="true" applyAlignment="true" applyProtection="false">
      <alignment horizontal="general" vertical="center" textRotation="0" wrapText="false" indent="1" shrinkToFit="false"/>
      <protection locked="true" hidden="false"/>
    </xf>
    <xf numFmtId="164" fontId="43" fillId="2" borderId="0" xfId="0" applyFont="true" applyBorder="true" applyAlignment="true" applyProtection="false">
      <alignment horizontal="general" vertical="center" textRotation="0" wrapText="false" indent="1" shrinkToFit="false"/>
      <protection locked="true" hidden="false"/>
    </xf>
    <xf numFmtId="164" fontId="16" fillId="5" borderId="19" xfId="0" applyFont="true" applyBorder="true" applyAlignment="true" applyProtection="false">
      <alignment horizontal="center" vertical="center" textRotation="0" wrapText="false" indent="0" shrinkToFit="false"/>
      <protection locked="true" hidden="false"/>
    </xf>
    <xf numFmtId="164" fontId="16" fillId="5" borderId="20" xfId="0" applyFont="true" applyBorder="true" applyAlignment="true" applyProtection="false">
      <alignment horizontal="center" vertical="center" textRotation="0" wrapText="false" indent="0" shrinkToFit="false"/>
      <protection locked="true" hidden="false"/>
    </xf>
    <xf numFmtId="164" fontId="16" fillId="5" borderId="21" xfId="0" applyFont="true" applyBorder="true" applyAlignment="true" applyProtection="false">
      <alignment horizontal="center" vertical="center" textRotation="0" wrapText="false" indent="0" shrinkToFit="false"/>
      <protection locked="true" hidden="false"/>
    </xf>
    <xf numFmtId="164" fontId="16" fillId="5" borderId="22" xfId="0" applyFont="true" applyBorder="true" applyAlignment="true" applyProtection="false">
      <alignment horizontal="center" vertical="center" textRotation="0" wrapText="false" indent="0" shrinkToFit="false"/>
      <protection locked="true" hidden="false"/>
    </xf>
    <xf numFmtId="165" fontId="44" fillId="5" borderId="23" xfId="0" applyFont="true" applyBorder="true" applyAlignment="true" applyProtection="false">
      <alignment horizontal="center" vertical="center" textRotation="0" wrapText="false" indent="0" shrinkToFit="false"/>
      <protection locked="true" hidden="false"/>
    </xf>
    <xf numFmtId="165" fontId="45" fillId="5" borderId="23" xfId="0" applyFont="true" applyBorder="true" applyAlignment="true" applyProtection="false">
      <alignment horizontal="center" vertical="center" textRotation="0" wrapText="false" indent="0" shrinkToFit="false"/>
      <protection locked="true" hidden="false"/>
    </xf>
    <xf numFmtId="165" fontId="46" fillId="5" borderId="23" xfId="0" applyFont="true" applyBorder="true" applyAlignment="true" applyProtection="false">
      <alignment horizontal="center" vertical="center" textRotation="0" wrapText="false" indent="0" shrinkToFit="false"/>
      <protection locked="true" hidden="false"/>
    </xf>
    <xf numFmtId="165" fontId="47" fillId="5" borderId="23" xfId="0" applyFont="true" applyBorder="true" applyAlignment="true" applyProtection="false">
      <alignment horizontal="center" vertical="center" textRotation="0" wrapText="false" indent="0" shrinkToFit="false"/>
      <protection locked="true" hidden="false"/>
    </xf>
    <xf numFmtId="164" fontId="48" fillId="5" borderId="23" xfId="0" applyFont="true" applyBorder="true" applyAlignment="true" applyProtection="false">
      <alignment horizontal="center" vertical="center" textRotation="0" wrapText="false" indent="0" shrinkToFit="false"/>
      <protection locked="true" hidden="false"/>
    </xf>
    <xf numFmtId="164" fontId="0" fillId="8" borderId="24" xfId="0" applyFont="false" applyBorder="true" applyAlignment="false" applyProtection="false">
      <alignment horizontal="general" vertical="bottom" textRotation="0" wrapText="false" indent="0" shrinkToFit="false"/>
      <protection locked="true" hidden="false"/>
    </xf>
    <xf numFmtId="164" fontId="30" fillId="7" borderId="25" xfId="0" applyFont="true" applyBorder="true" applyAlignment="true" applyProtection="false">
      <alignment horizontal="general" vertical="center" textRotation="0" wrapText="false" indent="1" shrinkToFit="false"/>
      <protection locked="true" hidden="false"/>
    </xf>
    <xf numFmtId="164" fontId="0" fillId="7" borderId="26" xfId="0" applyFont="false" applyBorder="true" applyAlignment="false" applyProtection="false">
      <alignment horizontal="general" vertical="bottom" textRotation="0" wrapText="false" indent="0" shrinkToFit="false"/>
      <protection locked="true" hidden="false"/>
    </xf>
    <xf numFmtId="164" fontId="16" fillId="5" borderId="27" xfId="0" applyFont="true" applyBorder="true" applyAlignment="true" applyProtection="false">
      <alignment horizontal="left" vertical="bottom" textRotation="0" wrapText="false" indent="1" shrinkToFit="false"/>
      <protection locked="true" hidden="false"/>
    </xf>
    <xf numFmtId="164" fontId="16" fillId="5" borderId="27" xfId="0" applyFont="true" applyBorder="true" applyAlignment="true" applyProtection="false">
      <alignment horizontal="center" vertical="bottom" textRotation="0" wrapText="false" indent="0" shrinkToFit="false"/>
      <protection locked="true" hidden="false"/>
    </xf>
    <xf numFmtId="164" fontId="16" fillId="5" borderId="28" xfId="0" applyFont="true" applyBorder="true" applyAlignment="true" applyProtection="false">
      <alignment horizontal="left" vertical="bottom" textRotation="0" wrapText="false" indent="1" shrinkToFit="false"/>
      <protection locked="true" hidden="false"/>
    </xf>
    <xf numFmtId="164" fontId="49" fillId="5" borderId="29" xfId="0" applyFont="true" applyBorder="true" applyAlignment="true" applyProtection="false">
      <alignment horizontal="left" vertical="center" textRotation="0" wrapText="false" indent="1" shrinkToFit="false"/>
      <protection locked="true" hidden="false"/>
    </xf>
    <xf numFmtId="164" fontId="50" fillId="5" borderId="29" xfId="0" applyFont="true" applyBorder="true" applyAlignment="true" applyProtection="false">
      <alignment horizontal="center" vertical="center" textRotation="0" wrapText="false" indent="0" shrinkToFit="false"/>
      <protection locked="true" hidden="false"/>
    </xf>
    <xf numFmtId="165" fontId="50" fillId="5" borderId="29" xfId="0" applyFont="true" applyBorder="true" applyAlignment="true" applyProtection="false">
      <alignment horizontal="center" vertical="center" textRotation="0" wrapText="false" indent="0" shrinkToFit="false"/>
      <protection locked="true" hidden="false"/>
    </xf>
    <xf numFmtId="164" fontId="49" fillId="5" borderId="30" xfId="0" applyFont="true" applyBorder="true" applyAlignment="true" applyProtection="false">
      <alignment horizontal="left" vertical="center" textRotation="0" wrapText="false" indent="1" shrinkToFit="false"/>
      <protection locked="true" hidden="false"/>
    </xf>
    <xf numFmtId="164" fontId="50" fillId="5" borderId="29" xfId="0" applyFont="true" applyBorder="true" applyAlignment="true" applyProtection="false">
      <alignment horizontal="left" vertical="center" textRotation="0" wrapText="false" indent="1" shrinkToFit="false"/>
      <protection locked="true" hidden="false"/>
    </xf>
    <xf numFmtId="164" fontId="51" fillId="4" borderId="0" xfId="0" applyFont="true" applyBorder="false" applyAlignment="false" applyProtection="false">
      <alignment horizontal="general" vertical="bottom" textRotation="0" wrapText="false" indent="0" shrinkToFit="false"/>
      <protection locked="true" hidden="false"/>
    </xf>
    <xf numFmtId="164" fontId="52" fillId="4" borderId="0" xfId="0" applyFont="true" applyBorder="false" applyAlignment="false" applyProtection="false">
      <alignment horizontal="general" vertical="bottom" textRotation="0" wrapText="false" indent="0" shrinkToFit="false"/>
      <protection locked="true" hidden="false"/>
    </xf>
    <xf numFmtId="164" fontId="40" fillId="8" borderId="24" xfId="0" applyFont="true" applyBorder="true" applyAlignment="true" applyProtection="false">
      <alignment horizontal="center" vertical="center" textRotation="0" wrapText="true" indent="0" shrinkToFit="false"/>
      <protection locked="true" hidden="false"/>
    </xf>
    <xf numFmtId="164" fontId="53" fillId="4" borderId="0" xfId="0" applyFont="true" applyBorder="false" applyAlignment="fals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center" textRotation="0" wrapText="false" indent="1" shrinkToFit="false"/>
      <protection locked="true" hidden="false"/>
    </xf>
    <xf numFmtId="164" fontId="43" fillId="2" borderId="0" xfId="0" applyFont="true" applyBorder="false" applyAlignment="true" applyProtection="false">
      <alignment horizontal="general" vertical="center" textRotation="0" wrapText="false" indent="1" shrinkToFit="false"/>
      <protection locked="true" hidden="false"/>
    </xf>
    <xf numFmtId="164" fontId="0" fillId="6" borderId="31" xfId="0" applyFont="fals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1" shrinkToFit="false"/>
      <protection locked="true" hidden="false"/>
    </xf>
    <xf numFmtId="164" fontId="57" fillId="12" borderId="32" xfId="0" applyFont="true" applyBorder="tru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1" shrinkToFit="false"/>
      <protection locked="true" hidden="false"/>
    </xf>
    <xf numFmtId="164" fontId="58" fillId="13" borderId="32" xfId="0" applyFont="true" applyBorder="true" applyAlignment="true" applyProtection="false">
      <alignment horizontal="general" vertical="center" textRotation="0" wrapText="false" indent="0" shrinkToFit="false"/>
      <protection locked="true" hidden="false"/>
    </xf>
    <xf numFmtId="166" fontId="57" fillId="12" borderId="32" xfId="0" applyFont="true" applyBorder="true" applyAlignment="true" applyProtection="false">
      <alignment horizontal="general" vertical="center" textRotation="0" wrapText="false" indent="0" shrinkToFit="false"/>
      <protection locked="true" hidden="false"/>
    </xf>
    <xf numFmtId="167" fontId="57" fillId="12" borderId="32" xfId="0" applyFont="true" applyBorder="true" applyAlignment="true" applyProtection="false">
      <alignment horizontal="general" vertical="center"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9" fillId="2" borderId="32" xfId="0" applyFont="true" applyBorder="true" applyAlignment="true" applyProtection="false">
      <alignment horizontal="center" vertical="center" textRotation="0" wrapText="true" indent="0" shrinkToFit="false"/>
      <protection locked="true" hidden="false"/>
    </xf>
    <xf numFmtId="164" fontId="60" fillId="0" borderId="32" xfId="0" applyFont="true" applyBorder="true" applyAlignment="false" applyProtection="false">
      <alignment horizontal="general" vertical="bottom" textRotation="0" wrapText="false" indent="0" shrinkToFit="false"/>
      <protection locked="true" hidden="false"/>
    </xf>
    <xf numFmtId="167" fontId="60" fillId="0" borderId="32" xfId="0" applyFont="true" applyBorder="true" applyAlignment="false" applyProtection="false">
      <alignment horizontal="general" vertical="bottom" textRotation="0" wrapText="false" indent="0" shrinkToFit="false"/>
      <protection locked="true" hidden="false"/>
    </xf>
    <xf numFmtId="166" fontId="60" fillId="0" borderId="32"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1" fillId="2" borderId="0" xfId="0" applyFont="true" applyBorder="false" applyAlignment="true" applyProtection="false">
      <alignment horizontal="general" vertical="center" textRotation="0" wrapText="false" indent="1"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57" fillId="15" borderId="32" xfId="0" applyFont="true" applyBorder="true" applyAlignment="true" applyProtection="false">
      <alignment horizontal="general" vertical="center"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7" fontId="57" fillId="15" borderId="32" xfId="0" applyFont="true" applyBorder="true" applyAlignment="true" applyProtection="false">
      <alignment horizontal="general" vertical="center"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66" fillId="15" borderId="32" xfId="0" applyFont="true" applyBorder="true" applyAlignment="false" applyProtection="false">
      <alignment horizontal="general" vertical="bottom" textRotation="0" wrapText="false" indent="0" shrinkToFit="false"/>
      <protection locked="true" hidden="false"/>
    </xf>
    <xf numFmtId="164" fontId="67" fillId="9" borderId="33" xfId="0" applyFont="true" applyBorder="true" applyAlignment="true" applyProtection="false">
      <alignment horizontal="center" vertical="center" textRotation="0" wrapText="true" indent="0" shrinkToFit="false"/>
      <protection locked="true" hidden="false"/>
    </xf>
    <xf numFmtId="164" fontId="68" fillId="7" borderId="33" xfId="0" applyFont="true" applyBorder="true" applyAlignment="true" applyProtection="false">
      <alignment horizontal="center" vertical="center" textRotation="0" wrapText="true" indent="0" shrinkToFit="false"/>
      <protection locked="true" hidden="false"/>
    </xf>
    <xf numFmtId="164" fontId="40" fillId="8" borderId="33" xfId="0" applyFont="true" applyBorder="true" applyAlignment="true" applyProtection="false">
      <alignment horizontal="center" vertical="center" textRotation="0" wrapText="true" indent="0" shrinkToFit="false"/>
      <protection locked="true" hidden="false"/>
    </xf>
    <xf numFmtId="165" fontId="69" fillId="9" borderId="33" xfId="0" applyFont="true" applyBorder="true" applyAlignment="true" applyProtection="false">
      <alignment horizontal="center" vertical="center" textRotation="0" wrapText="false" indent="0" shrinkToFit="false"/>
      <protection locked="true" hidden="false"/>
    </xf>
    <xf numFmtId="165" fontId="70" fillId="7" borderId="33" xfId="0" applyFont="true" applyBorder="true" applyAlignment="true" applyProtection="false">
      <alignment horizontal="center" vertical="center" textRotation="0" wrapText="false" indent="0" shrinkToFit="false"/>
      <protection locked="true" hidden="false"/>
    </xf>
    <xf numFmtId="165" fontId="71" fillId="8" borderId="33" xfId="0" applyFont="true" applyBorder="true" applyAlignment="true" applyProtection="false">
      <alignment horizontal="center" vertical="center"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60" fillId="13" borderId="32" xfId="0" applyFont="true" applyBorder="true" applyAlignment="false" applyProtection="false">
      <alignment horizontal="general" vertical="bottom" textRotation="0" wrapText="false" indent="0" shrinkToFit="false"/>
      <protection locked="true" hidden="false"/>
    </xf>
    <xf numFmtId="166" fontId="60" fillId="13" borderId="32" xfId="0" applyFont="true" applyBorder="true" applyAlignment="false" applyProtection="false">
      <alignment horizontal="general" vertical="bottom" textRotation="0" wrapText="false" indent="0" shrinkToFit="false"/>
      <protection locked="true" hidden="false"/>
    </xf>
    <xf numFmtId="164" fontId="72" fillId="0" borderId="0" xfId="0" applyFont="true" applyBorder="false" applyAlignment="false" applyProtection="false">
      <alignment horizontal="general" vertical="bottom"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57" fillId="15" borderId="32" xfId="0" applyFont="true" applyBorder="true" applyAlignment="true" applyProtection="false">
      <alignment horizontal="center" vertical="bottom" textRotation="0" wrapText="false" indent="0" shrinkToFit="false"/>
      <protection locked="true" hidden="false"/>
    </xf>
    <xf numFmtId="165" fontId="56" fillId="0" borderId="0" xfId="0" applyFont="true" applyBorder="false" applyAlignment="true" applyProtection="false">
      <alignment horizontal="center" vertical="bottom" textRotation="0" wrapText="false" indent="0" shrinkToFit="false"/>
      <protection locked="true" hidden="false"/>
    </xf>
    <xf numFmtId="164" fontId="74" fillId="0" borderId="0" xfId="0" applyFont="true" applyBorder="false" applyAlignment="false" applyProtection="false">
      <alignment horizontal="general" vertical="bottom" textRotation="0" wrapText="false" indent="0" shrinkToFit="false"/>
      <protection locked="true" hidden="false"/>
    </xf>
    <xf numFmtId="164" fontId="75" fillId="0" borderId="0" xfId="0" applyFont="true" applyBorder="false" applyAlignment="false" applyProtection="false">
      <alignment horizontal="general" vertical="bottom" textRotation="0" wrapText="false" indent="0" shrinkToFit="false"/>
      <protection locked="true" hidden="false"/>
    </xf>
    <xf numFmtId="164" fontId="56" fillId="0" borderId="32" xfId="0" applyFont="true" applyBorder="true" applyAlignment="false" applyProtection="false">
      <alignment horizontal="general" vertical="bottom" textRotation="0" wrapText="false" indent="0" shrinkToFit="false"/>
      <protection locked="true" hidden="false"/>
    </xf>
    <xf numFmtId="165" fontId="60" fillId="0" borderId="32" xfId="0" applyFont="true" applyBorder="true" applyAlignment="true" applyProtection="false">
      <alignment horizontal="center" vertical="bottom" textRotation="0" wrapText="false" indent="0" shrinkToFit="false"/>
      <protection locked="true" hidden="false"/>
    </xf>
    <xf numFmtId="168" fontId="65" fillId="0" borderId="32" xfId="0" applyFont="true" applyBorder="true" applyAlignment="true" applyProtection="false">
      <alignment horizontal="center" vertical="bottom" textRotation="0" wrapText="false" indent="0" shrinkToFit="false"/>
      <protection locked="true" hidden="false"/>
    </xf>
    <xf numFmtId="164" fontId="76" fillId="0" borderId="32" xfId="0" applyFont="true" applyBorder="true" applyAlignment="true" applyProtection="false">
      <alignment horizontal="center" vertical="bottom" textRotation="0" wrapText="false" indent="0" shrinkToFit="false"/>
      <protection locked="true" hidden="false"/>
    </xf>
    <xf numFmtId="164" fontId="60" fillId="0" borderId="32" xfId="0" applyFont="true" applyBorder="true" applyAlignment="true" applyProtection="false">
      <alignment horizontal="center" vertical="bottom" textRotation="0" wrapText="false" indent="0" shrinkToFit="false"/>
      <protection locked="true" hidden="false"/>
    </xf>
    <xf numFmtId="169" fontId="60" fillId="0" borderId="32"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64" fontId="57" fillId="0" borderId="32" xfId="0" applyFont="true" applyBorder="true" applyAlignment="false" applyProtection="false">
      <alignment horizontal="general" vertical="bottom" textRotation="0" wrapText="false" indent="0" shrinkToFit="false"/>
      <protection locked="true" hidden="false"/>
    </xf>
    <xf numFmtId="166" fontId="57" fillId="0" borderId="32" xfId="0" applyFont="true" applyBorder="true" applyAlignment="false" applyProtection="false">
      <alignment horizontal="general" vertical="bottom" textRotation="0" wrapText="false" indent="0" shrinkToFit="false"/>
      <protection locked="true" hidden="false"/>
    </xf>
    <xf numFmtId="167" fontId="57" fillId="0" borderId="32" xfId="0" applyFont="tru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6" fontId="0" fillId="0" borderId="32" xfId="0" applyFont="false" applyBorder="true" applyAlignment="false" applyProtection="false">
      <alignment horizontal="general" vertical="bottom" textRotation="0" wrapText="false" indent="0" shrinkToFit="false"/>
      <protection locked="true" hidden="false"/>
    </xf>
    <xf numFmtId="167" fontId="0" fillId="0" borderId="32" xfId="0" applyFont="false" applyBorder="true" applyAlignment="false" applyProtection="false">
      <alignment horizontal="general" vertical="bottom" textRotation="0" wrapText="false" indent="0" shrinkToFit="false"/>
      <protection locked="true" hidden="false"/>
    </xf>
    <xf numFmtId="164" fontId="78"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57" fillId="12" borderId="3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
    <dxf>
      <font>
        <name val="Arial"/>
        <charset val="1"/>
        <family val="0"/>
        <b val="1"/>
        <color rgb="FFFFFFFF"/>
        <sz val="10"/>
      </font>
      <fill>
        <patternFill>
          <bgColor rgb="FFC0392B"/>
        </patternFill>
      </fill>
    </dxf>
    <dxf>
      <font>
        <name val="Arial"/>
        <charset val="1"/>
        <family val="0"/>
        <b val="1"/>
        <color rgb="FFFFFFFF"/>
        <sz val="10"/>
      </font>
      <fill>
        <patternFill>
          <bgColor rgb="FFF4A259"/>
        </patternFill>
      </fill>
    </dxf>
    <dxf>
      <font>
        <name val="Arial"/>
        <charset val="1"/>
        <family val="0"/>
        <b val="1"/>
        <color rgb="FF155724"/>
        <sz val="10"/>
      </font>
    </dxf>
    <dxf>
      <font>
        <name val="Arial"/>
        <charset val="1"/>
        <family val="0"/>
        <b val="1"/>
        <color rgb="FFC0392B"/>
        <sz val="10"/>
      </font>
    </dxf>
    <dxf>
      <fill>
        <patternFill patternType="solid">
          <fgColor rgb="FF1F3864"/>
          <bgColor rgb="FF000000"/>
        </patternFill>
      </fill>
    </dxf>
    <dxf>
      <fill>
        <patternFill patternType="solid">
          <fgColor rgb="FFF5F6F8"/>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D6E9F8"/>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0C5460"/>
          <bgColor rgb="FF000000"/>
        </patternFill>
      </fill>
    </dxf>
    <dxf>
      <fill>
        <patternFill patternType="solid">
          <fgColor rgb="FF155724"/>
          <bgColor rgb="FF000000"/>
        </patternFill>
      </fill>
    </dxf>
    <dxf>
      <fill>
        <patternFill patternType="solid">
          <fgColor rgb="FF721C24"/>
          <bgColor rgb="FF000000"/>
        </patternFill>
      </fill>
    </dxf>
    <dxf>
      <fill>
        <patternFill patternType="solid">
          <fgColor rgb="FF856404"/>
          <bgColor rgb="FF000000"/>
        </patternFill>
      </fill>
    </dxf>
    <dxf>
      <fill>
        <patternFill patternType="solid">
          <fgColor rgb="FFC3E6CB"/>
          <bgColor rgb="FF000000"/>
        </patternFill>
      </fill>
    </dxf>
    <dxf>
      <fill>
        <patternFill patternType="solid">
          <fgColor rgb="FFE2F0D9"/>
          <bgColor rgb="FF000000"/>
        </patternFill>
      </fill>
    </dxf>
    <dxf>
      <fill>
        <patternFill patternType="solid">
          <fgColor rgb="FFF5C6CB"/>
          <bgColor rgb="FF000000"/>
        </patternFill>
      </fill>
    </dxf>
    <dxf>
      <fill>
        <patternFill patternType="solid">
          <fgColor rgb="FF3C763D"/>
          <bgColor rgb="FF000000"/>
        </patternFill>
      </fill>
    </dxf>
    <dxf>
      <font>
        <name val="Arial"/>
        <charset val="1"/>
        <family val="0"/>
        <color rgb="FF155724"/>
        <sz val="10"/>
      </font>
      <fill>
        <patternFill>
          <bgColor rgb="FFD4EDDA"/>
        </patternFill>
      </fill>
    </dxf>
    <dxf>
      <font>
        <name val="Arial"/>
        <charset val="1"/>
        <family val="0"/>
        <color rgb="FF721C24"/>
        <sz val="10"/>
      </font>
      <fill>
        <patternFill>
          <bgColor rgb="FFF8D7DA"/>
        </patternFill>
      </fill>
    </dxf>
    <dxf>
      <font>
        <name val="Arial"/>
        <charset val="1"/>
        <family val="0"/>
        <color rgb="FF856404"/>
        <sz val="10"/>
      </font>
      <fill>
        <patternFill>
          <bgColor rgb="FFFFF3CD"/>
        </patternFill>
      </fill>
    </dxf>
    <dxf>
      <font>
        <name val="Arial"/>
        <charset val="1"/>
        <family val="0"/>
        <color rgb="FF0C5460"/>
        <sz val="10"/>
      </font>
      <fill>
        <patternFill>
          <bgColor rgb="FFD6E9F8"/>
        </patternFill>
      </fill>
    </dxf>
    <dxf>
      <font>
        <name val="Arial"/>
        <charset val="1"/>
        <family val="0"/>
        <b val="1"/>
        <color rgb="FF155724"/>
        <sz val="10"/>
      </font>
      <fill>
        <patternFill>
          <bgColor rgb="FFC3E6CB"/>
        </patternFill>
      </fill>
    </dxf>
    <dxf>
      <font>
        <name val="Arial"/>
        <charset val="1"/>
        <family val="0"/>
        <color rgb="FF3C763D"/>
        <sz val="10"/>
      </font>
      <fill>
        <patternFill>
          <bgColor rgb="FFE2F0D9"/>
        </patternFill>
      </fill>
    </dxf>
    <dxf>
      <font>
        <name val="Arial"/>
        <charset val="1"/>
        <family val="0"/>
        <b val="1"/>
        <color rgb="FF721C24"/>
        <sz val="10"/>
      </font>
      <fill>
        <patternFill>
          <bgColor rgb="FFF5C6CB"/>
        </patternFill>
      </fill>
    </dxf>
    <dxf>
      <fill>
        <patternFill>
          <bgColor rgb="FFF5F6F8"/>
        </patternFill>
      </fill>
    </dxf>
    <dxf>
      <font>
        <name val="Arial"/>
        <charset val="1"/>
        <family val="0"/>
        <b val="1"/>
        <color rgb="FF721C24"/>
        <sz val="10"/>
      </font>
      <fill>
        <patternFill>
          <bgColor rgb="FFF8D7DA"/>
        </patternFill>
      </fill>
    </dxf>
    <dxf>
      <font>
        <name val="Arial"/>
        <charset val="1"/>
        <family val="0"/>
        <b val="1"/>
        <color rgb="FF856404"/>
        <sz val="10"/>
      </font>
      <fill>
        <patternFill>
          <bgColor rgb="FFFFF3CD"/>
        </patternFill>
      </fill>
    </dxf>
    <dxf>
      <font>
        <name val="Arial"/>
        <charset val="1"/>
        <family val="0"/>
        <color rgb="FF555555"/>
        <sz val="10"/>
      </font>
      <fill>
        <patternFill>
          <bgColor rgb="FFE2E3E5"/>
        </patternFill>
      </fill>
    </dxf>
  </dxfs>
  <colors>
    <indexedColors>
      <rgbColor rgb="FF000000"/>
      <rgbColor rgb="FFFFFFFF"/>
      <rgbColor rgb="FFEDF0F4"/>
      <rgbColor rgb="FFE2E3E5"/>
      <rgbColor rgb="FF0000FF"/>
      <rgbColor rgb="FFE2F0D9"/>
      <rgbColor rgb="FFE3E7ED"/>
      <rgbColor rgb="FFD6E9F8"/>
      <rgbColor rgb="FF721C24"/>
      <rgbColor rgb="FF115728"/>
      <rgbColor rgb="FFF5F6F8"/>
      <rgbColor rgb="FF856404"/>
      <rgbColor rgb="FF666666"/>
      <rgbColor rgb="FF1B998B"/>
      <rgbColor rgb="FFD0D5DD"/>
      <rgbColor rgb="FF7D8792"/>
      <rgbColor rgb="FF9AA5B1"/>
      <rgbColor rgb="FFC0392B"/>
      <rgbColor rgb="FFFFF8E1"/>
      <rgbColor rgb="FFCDEFEA"/>
      <rgbColor rgb="FF3E4C5E"/>
      <rgbColor rgb="FFF4A259"/>
      <rgbColor rgb="FF126B9C"/>
      <rgbColor rgb="FFC9D6EA"/>
      <rgbColor rgb="FFF4F7FB"/>
      <rgbColor rgb="FFFBE9E7"/>
      <rgbColor rgb="FFFDF0E1"/>
      <rgbColor rgb="FFDDE7F3"/>
      <rgbColor rgb="FFE8EDF6"/>
      <rgbColor rgb="FFE4F3EA"/>
      <rgbColor rgb="FF1F6B41"/>
      <rgbColor rgb="FFEDF0F5"/>
      <rgbColor rgb="FF3C763D"/>
      <rgbColor rgb="FFE3F4F1"/>
      <rgbColor rgb="FFD4EDDA"/>
      <rgbColor rgb="FFFFF3CD"/>
      <rgbColor rgb="FF80D1C5"/>
      <rgbColor rgb="FFF8D7DA"/>
      <rgbColor rgb="FFAAAAAA"/>
      <rgbColor rgb="FFF5C6CB"/>
      <rgbColor rgb="FF4A5663"/>
      <rgbColor rgb="FF777777"/>
      <rgbColor rgb="FFC3E6CB"/>
      <rgbColor rgb="FFFFD966"/>
      <rgbColor rgb="FFD9DADB"/>
      <rgbColor rgb="FFB8651B"/>
      <rgbColor rgb="FF5B6C81"/>
      <rgbColor rgb="FF999999"/>
      <rgbColor rgb="FF1F3864"/>
      <rgbColor rgb="FF2E8B57"/>
      <rgbColor rgb="FF27323F"/>
      <rgbColor rgb="FF222222"/>
      <rgbColor rgb="FF96281B"/>
      <rgbColor rgb="FF555555"/>
      <rgbColor rgb="FF333F5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Recruitment pipeline</a:t>
            </a:r>
          </a:p>
        </c:rich>
      </c:tx>
      <c:overlay val="0"/>
      <c:spPr>
        <a:noFill/>
        <a:ln w="0">
          <a:noFill/>
        </a:ln>
      </c:spPr>
    </c:title>
    <c:autoTitleDeleted val="0"/>
    <c:plotArea>
      <c:barChart>
        <c:barDir val="col"/>
        <c:grouping val="clustered"/>
        <c:varyColors val="0"/>
        <c:ser>
          <c:idx val="0"/>
          <c:order val="0"/>
          <c:tx>
            <c:strRef>
              <c:f>Dashboard!B57</c:f>
              <c:strCache>
                <c:ptCount val="1"/>
                <c:pt idx="0">
                  <c:v>Count</c:v>
                </c:pt>
              </c:strCache>
            </c:strRef>
          </c:tx>
          <c:spPr>
            <a:solidFill>
              <a:srgbClr val="1f3864"/>
            </a:solidFill>
            <a:ln w="0">
              <a:solidFill>
                <a:srgbClr val="1f3864"/>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Dashboard!$A$58:$A$64</c:f>
              <c:strCache>
                <c:ptCount val="7"/>
                <c:pt idx="0">
                  <c:v>Applied</c:v>
                </c:pt>
                <c:pt idx="1">
                  <c:v>Screened</c:v>
                </c:pt>
                <c:pt idx="2">
                  <c:v>Interviewed</c:v>
                </c:pt>
                <c:pt idx="3">
                  <c:v>Offered</c:v>
                </c:pt>
                <c:pt idx="4">
                  <c:v>Hired</c:v>
                </c:pt>
                <c:pt idx="5">
                  <c:v>Not Selected</c:v>
                </c:pt>
                <c:pt idx="6">
                  <c:v>Withdrawn</c:v>
                </c:pt>
              </c:strCache>
            </c:strRef>
          </c:cat>
          <c:val>
            <c:numRef>
              <c:f>Dashboard!$B$58:$B$64</c:f>
              <c:numCache>
                <c:formatCode>General</c:formatCode>
                <c:ptCount val="7"/>
                <c:pt idx="0">
                  <c:v>0</c:v>
                </c:pt>
                <c:pt idx="1">
                  <c:v>4</c:v>
                </c:pt>
                <c:pt idx="2">
                  <c:v>4</c:v>
                </c:pt>
                <c:pt idx="3">
                  <c:v>0</c:v>
                </c:pt>
                <c:pt idx="4">
                  <c:v>5</c:v>
                </c:pt>
                <c:pt idx="5">
                  <c:v>22</c:v>
                </c:pt>
                <c:pt idx="6">
                  <c:v>5</c:v>
                </c:pt>
              </c:numCache>
            </c:numRef>
          </c:val>
        </c:ser>
        <c:gapWidth val="55"/>
        <c:overlap val="0"/>
        <c:axId val="47909293"/>
        <c:axId val="60342800"/>
      </c:barChart>
      <c:catAx>
        <c:axId val="479092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342800"/>
        <c:crosses val="autoZero"/>
        <c:auto val="1"/>
        <c:lblAlgn val="ctr"/>
        <c:lblOffset val="100"/>
        <c:noMultiLvlLbl val="0"/>
      </c:catAx>
      <c:valAx>
        <c:axId val="6034280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09293"/>
        <c:crosses val="autoZero"/>
        <c:crossBetween val="between"/>
      </c:valAx>
      <c:spPr>
        <a:noFill/>
        <a:ln w="0">
          <a:noFill/>
        </a:ln>
      </c:spPr>
    </c:plotArea>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Future potential of the pool</a:t>
            </a:r>
          </a:p>
        </c:rich>
      </c:tx>
      <c:overlay val="0"/>
      <c:spPr>
        <a:noFill/>
        <a:ln w="0">
          <a:noFill/>
        </a:ln>
      </c:spPr>
    </c:title>
    <c:autoTitleDeleted val="0"/>
    <c:plotArea>
      <c:doughnutChart>
        <c:varyColors val="1"/>
        <c:ser>
          <c:idx val="0"/>
          <c:order val="0"/>
          <c:tx>
            <c:strRef>
              <c:f>Dashboard!E57</c:f>
              <c:strCache>
                <c:ptCount val="1"/>
                <c:pt idx="0">
                  <c:v>Count</c:v>
                </c:pt>
              </c:strCache>
            </c:strRef>
          </c:tx>
          <c:spPr>
            <a:solidFill>
              <a:srgbClr val="4f81bd"/>
            </a:solidFill>
            <a:ln w="0">
              <a:noFill/>
            </a:ln>
          </c:spPr>
          <c:explosion val="0"/>
          <c:dPt>
            <c:idx val="0"/>
            <c:spPr>
              <a:solidFill>
                <a:srgbClr val="2e8b57"/>
              </a:solidFill>
              <a:ln w="0">
                <a:noFill/>
              </a:ln>
            </c:spPr>
          </c:dPt>
          <c:dPt>
            <c:idx val="1"/>
            <c:spPr>
              <a:solidFill>
                <a:srgbClr val="8fd19e"/>
              </a:solidFill>
              <a:ln w="0">
                <a:noFill/>
              </a:ln>
            </c:spPr>
          </c:dPt>
          <c:dPt>
            <c:idx val="2"/>
            <c:spPr>
              <a:solidFill>
                <a:srgbClr val="c9d1db"/>
              </a:solidFill>
              <a:ln w="0">
                <a:noFill/>
              </a:ln>
            </c:spPr>
          </c:dPt>
          <c:dPt>
            <c:idx val="3"/>
            <c:spPr>
              <a:solidFill>
                <a:srgbClr val="c0392b"/>
              </a:solidFill>
              <a:ln w="0">
                <a:noFill/>
              </a:ln>
            </c:spPr>
          </c:dPt>
          <c:dLbls>
            <c:dLbl>
              <c:idx val="0"/>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1"/>
            <c:showCatName val="0"/>
            <c:showSerName val="0"/>
            <c:showPercent val="0"/>
            <c:separator>; </c:separator>
            <c:showLeaderLines val="1"/>
          </c:dLbls>
          <c:cat>
            <c:strRef>
              <c:f>Dashboard!$D$58:$D$61</c:f>
              <c:strCache>
                <c:ptCount val="4"/>
                <c:pt idx="0">
                  <c:v>Strong Future Fit</c:v>
                </c:pt>
                <c:pt idx="1">
                  <c:v>Potential Future Fit</c:v>
                </c:pt>
                <c:pt idx="2">
                  <c:v>Not Currently Relevant</c:v>
                </c:pt>
                <c:pt idx="3">
                  <c:v>Do Not Contact</c:v>
                </c:pt>
              </c:strCache>
            </c:strRef>
          </c:cat>
          <c:val>
            <c:numRef>
              <c:f>Dashboard!$E$58:$E$61</c:f>
              <c:numCache>
                <c:formatCode>General</c:formatCode>
                <c:ptCount val="4"/>
                <c:pt idx="0">
                  <c:v>8</c:v>
                </c:pt>
                <c:pt idx="1">
                  <c:v>14</c:v>
                </c:pt>
                <c:pt idx="2">
                  <c:v>16</c:v>
                </c:pt>
                <c:pt idx="3">
                  <c:v>2</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Candidates by department</a:t>
            </a:r>
          </a:p>
        </c:rich>
      </c:tx>
      <c:overlay val="0"/>
      <c:spPr>
        <a:noFill/>
        <a:ln w="0">
          <a:noFill/>
        </a:ln>
      </c:spPr>
    </c:title>
    <c:autoTitleDeleted val="0"/>
    <c:plotArea>
      <c:barChart>
        <c:barDir val="bar"/>
        <c:grouping val="clustered"/>
        <c:varyColors val="0"/>
        <c:ser>
          <c:idx val="0"/>
          <c:order val="0"/>
          <c:tx>
            <c:strRef>
              <c:f>Dashboard!H57</c:f>
              <c:strCache>
                <c:ptCount val="1"/>
                <c:pt idx="0">
                  <c:v>Count</c:v>
                </c:pt>
              </c:strCache>
            </c:strRef>
          </c:tx>
          <c:spPr>
            <a:solidFill>
              <a:srgbClr val="1b998b"/>
            </a:solidFill>
            <a:ln w="0">
              <a:solidFill>
                <a:srgbClr val="1b998b"/>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Dashboard!$G$58:$G$64</c:f>
              <c:strCache>
                <c:ptCount val="7"/>
                <c:pt idx="0">
                  <c:v>Operations</c:v>
                </c:pt>
                <c:pt idx="1">
                  <c:v>Analytics</c:v>
                </c:pt>
                <c:pt idx="2">
                  <c:v>Human Resources</c:v>
                </c:pt>
                <c:pt idx="3">
                  <c:v>Finance</c:v>
                </c:pt>
                <c:pt idx="4">
                  <c:v>Sales</c:v>
                </c:pt>
                <c:pt idx="5">
                  <c:v>Marketing</c:v>
                </c:pt>
                <c:pt idx="6">
                  <c:v>Engineering</c:v>
                </c:pt>
              </c:strCache>
            </c:strRef>
          </c:cat>
          <c:val>
            <c:numRef>
              <c:f>Dashboard!$H$58:$H$64</c:f>
              <c:numCache>
                <c:formatCode>General</c:formatCode>
                <c:ptCount val="7"/>
                <c:pt idx="0">
                  <c:v>6</c:v>
                </c:pt>
                <c:pt idx="1">
                  <c:v>5</c:v>
                </c:pt>
                <c:pt idx="2">
                  <c:v>4</c:v>
                </c:pt>
                <c:pt idx="3">
                  <c:v>7</c:v>
                </c:pt>
                <c:pt idx="4">
                  <c:v>3</c:v>
                </c:pt>
                <c:pt idx="5">
                  <c:v>7</c:v>
                </c:pt>
                <c:pt idx="6">
                  <c:v>8</c:v>
                </c:pt>
              </c:numCache>
            </c:numRef>
          </c:val>
        </c:ser>
        <c:gapWidth val="55"/>
        <c:overlap val="0"/>
        <c:axId val="87457285"/>
        <c:axId val="15321463"/>
      </c:barChart>
      <c:catAx>
        <c:axId val="874572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321463"/>
        <c:crosses val="autoZero"/>
        <c:auto val="1"/>
        <c:lblAlgn val="ctr"/>
        <c:lblOffset val="100"/>
        <c:noMultiLvlLbl val="0"/>
      </c:catAx>
      <c:valAx>
        <c:axId val="1532146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457285"/>
        <c:crosses val="autoZero"/>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Follow-ups by month (overdue first)</a:t>
            </a:r>
          </a:p>
        </c:rich>
      </c:tx>
      <c:overlay val="0"/>
      <c:spPr>
        <a:noFill/>
        <a:ln w="0">
          <a:noFill/>
        </a:ln>
      </c:spPr>
    </c:title>
    <c:autoTitleDeleted val="0"/>
    <c:plotArea>
      <c:barChart>
        <c:barDir val="col"/>
        <c:grouping val="clustered"/>
        <c:varyColors val="0"/>
        <c:ser>
          <c:idx val="0"/>
          <c:order val="0"/>
          <c:tx>
            <c:strRef>
              <c:f>Dashboard!K57</c:f>
              <c:strCache>
                <c:ptCount val="1"/>
                <c:pt idx="0">
                  <c:v>Count</c:v>
                </c:pt>
              </c:strCache>
            </c:strRef>
          </c:tx>
          <c:spPr>
            <a:solidFill>
              <a:srgbClr val="f4a259"/>
            </a:solidFill>
            <a:ln w="0">
              <a:solidFill>
                <a:srgbClr val="f4a259"/>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Dashboard!$J$58:$J$64</c:f>
              <c:strCache>
                <c:ptCount val="7"/>
                <c:pt idx="0">
                  <c:v>Overdue</c:v>
                </c:pt>
                <c:pt idx="1">
                  <c:v>Oct 26</c:v>
                </c:pt>
                <c:pt idx="2">
                  <c:v>Nov 26</c:v>
                </c:pt>
                <c:pt idx="3">
                  <c:v>Dec 26</c:v>
                </c:pt>
                <c:pt idx="4">
                  <c:v>Jan 27</c:v>
                </c:pt>
                <c:pt idx="5">
                  <c:v>Feb 27</c:v>
                </c:pt>
                <c:pt idx="6">
                  <c:v>Mar 27</c:v>
                </c:pt>
              </c:strCache>
            </c:strRef>
          </c:cat>
          <c:val>
            <c:numRef>
              <c:f>Dashboard!$K$58:$K$64</c:f>
              <c:numCache>
                <c:formatCode>General</c:formatCode>
                <c:ptCount val="7"/>
                <c:pt idx="0">
                  <c:v>1</c:v>
                </c:pt>
                <c:pt idx="1">
                  <c:v>12</c:v>
                </c:pt>
                <c:pt idx="2">
                  <c:v>0</c:v>
                </c:pt>
                <c:pt idx="3">
                  <c:v>8</c:v>
                </c:pt>
                <c:pt idx="4">
                  <c:v>0</c:v>
                </c:pt>
                <c:pt idx="5">
                  <c:v>0</c:v>
                </c:pt>
                <c:pt idx="6">
                  <c:v>0</c:v>
                </c:pt>
              </c:numCache>
            </c:numRef>
          </c:val>
        </c:ser>
        <c:gapWidth val="55"/>
        <c:overlap val="0"/>
        <c:axId val="9830065"/>
        <c:axId val="40384506"/>
      </c:barChart>
      <c:catAx>
        <c:axId val="98300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84506"/>
        <c:crosses val="autoZero"/>
        <c:auto val="1"/>
        <c:lblAlgn val="ctr"/>
        <c:lblOffset val="100"/>
        <c:noMultiLvlLbl val="0"/>
      </c:catAx>
      <c:valAx>
        <c:axId val="4038450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30065"/>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5</xdr:col>
      <xdr:colOff>638280</xdr:colOff>
      <xdr:row>34</xdr:row>
      <xdr:rowOff>32760</xdr:rowOff>
    </xdr:to>
    <xdr:graphicFrame>
      <xdr:nvGraphicFramePr>
        <xdr:cNvPr id="0" name="Chart 1"/>
        <xdr:cNvGraphicFramePr/>
      </xdr:nvGraphicFramePr>
      <xdr:xfrm>
        <a:off x="0" y="5610240"/>
        <a:ext cx="52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20</xdr:row>
      <xdr:rowOff>0</xdr:rowOff>
    </xdr:from>
    <xdr:to>
      <xdr:col>11</xdr:col>
      <xdr:colOff>638280</xdr:colOff>
      <xdr:row>34</xdr:row>
      <xdr:rowOff>32760</xdr:rowOff>
    </xdr:to>
    <xdr:graphicFrame>
      <xdr:nvGraphicFramePr>
        <xdr:cNvPr id="1" name="Chart 2"/>
        <xdr:cNvGraphicFramePr/>
      </xdr:nvGraphicFramePr>
      <xdr:xfrm>
        <a:off x="5497920" y="5610240"/>
        <a:ext cx="52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37</xdr:row>
      <xdr:rowOff>0</xdr:rowOff>
    </xdr:from>
    <xdr:to>
      <xdr:col>5</xdr:col>
      <xdr:colOff>638280</xdr:colOff>
      <xdr:row>51</xdr:row>
      <xdr:rowOff>32760</xdr:rowOff>
    </xdr:to>
    <xdr:graphicFrame>
      <xdr:nvGraphicFramePr>
        <xdr:cNvPr id="2" name="Chart 3"/>
        <xdr:cNvGraphicFramePr/>
      </xdr:nvGraphicFramePr>
      <xdr:xfrm>
        <a:off x="0" y="8848800"/>
        <a:ext cx="521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37</xdr:row>
      <xdr:rowOff>0</xdr:rowOff>
    </xdr:from>
    <xdr:to>
      <xdr:col>11</xdr:col>
      <xdr:colOff>638280</xdr:colOff>
      <xdr:row>51</xdr:row>
      <xdr:rowOff>32760</xdr:rowOff>
    </xdr:to>
    <xdr:graphicFrame>
      <xdr:nvGraphicFramePr>
        <xdr:cNvPr id="3" name="Chart 4"/>
        <xdr:cNvGraphicFramePr/>
      </xdr:nvGraphicFramePr>
      <xdr:xfrm>
        <a:off x="5497920" y="8848800"/>
        <a:ext cx="521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1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0"/>
    <col collapsed="false" customWidth="true" hidden="false" outlineLevel="0" max="14" min="14" style="0" width="2"/>
  </cols>
  <sheetData>
    <row r="1" customFormat="false" ht="15.75" hidden="false" customHeight="true" outlineLevel="0" collapsed="false">
      <c r="A1" s="1"/>
      <c r="B1" s="1"/>
      <c r="C1" s="1"/>
      <c r="D1" s="1"/>
      <c r="E1" s="1"/>
      <c r="F1" s="1"/>
      <c r="G1" s="1"/>
      <c r="H1" s="1"/>
      <c r="I1" s="1"/>
      <c r="J1" s="1"/>
      <c r="K1" s="1"/>
      <c r="L1" s="1"/>
      <c r="M1" s="1"/>
      <c r="N1" s="1"/>
    </row>
    <row r="2" customFormat="false" ht="18" hidden="false" customHeight="true" outlineLevel="0" collapsed="false">
      <c r="A2" s="1"/>
      <c r="B2" s="2" t="s">
        <v>0</v>
      </c>
      <c r="C2" s="2"/>
      <c r="D2" s="2"/>
      <c r="E2" s="2"/>
      <c r="F2" s="2"/>
      <c r="G2" s="2"/>
      <c r="H2" s="2"/>
      <c r="I2" s="2"/>
      <c r="J2" s="2"/>
      <c r="K2" s="2"/>
      <c r="L2" s="2"/>
      <c r="M2" s="2"/>
      <c r="N2" s="1"/>
    </row>
    <row r="3" customFormat="false" ht="49.5" hidden="false" customHeight="true" outlineLevel="0" collapsed="false">
      <c r="A3" s="1"/>
      <c r="B3" s="3" t="s">
        <v>1</v>
      </c>
      <c r="C3" s="3"/>
      <c r="D3" s="3"/>
      <c r="E3" s="3"/>
      <c r="F3" s="3"/>
      <c r="G3" s="3"/>
      <c r="H3" s="3"/>
      <c r="I3" s="3"/>
      <c r="J3" s="3"/>
      <c r="K3" s="3"/>
      <c r="L3" s="3"/>
      <c r="M3" s="3"/>
      <c r="N3" s="1"/>
    </row>
    <row r="4" customFormat="false" ht="25.5" hidden="false" customHeight="true" outlineLevel="0" collapsed="false">
      <c r="A4" s="1"/>
      <c r="B4" s="4" t="s">
        <v>2</v>
      </c>
      <c r="C4" s="4"/>
      <c r="D4" s="4"/>
      <c r="E4" s="4"/>
      <c r="F4" s="4"/>
      <c r="G4" s="4"/>
      <c r="H4" s="4"/>
      <c r="I4" s="4"/>
      <c r="J4" s="4"/>
      <c r="K4" s="4"/>
      <c r="L4" s="4"/>
      <c r="M4" s="4"/>
      <c r="N4" s="1"/>
    </row>
    <row r="5" customFormat="false" ht="21.75" hidden="false" customHeight="true" outlineLevel="0" collapsed="false">
      <c r="A5" s="1"/>
      <c r="B5" s="5" t="s">
        <v>3</v>
      </c>
      <c r="C5" s="5"/>
      <c r="D5" s="5"/>
      <c r="E5" s="5"/>
      <c r="F5" s="5"/>
      <c r="G5" s="5"/>
      <c r="H5" s="5"/>
      <c r="I5" s="5"/>
      <c r="J5" s="5"/>
      <c r="K5" s="5"/>
      <c r="L5" s="5"/>
      <c r="M5" s="5"/>
      <c r="N5" s="1"/>
    </row>
    <row r="6" customFormat="false" ht="19.5" hidden="false" customHeight="true" outlineLevel="0" collapsed="false">
      <c r="A6" s="1"/>
      <c r="B6" s="1"/>
      <c r="C6" s="1"/>
      <c r="D6" s="1"/>
      <c r="E6" s="1"/>
      <c r="F6" s="1"/>
      <c r="G6" s="1"/>
      <c r="H6" s="1"/>
      <c r="I6" s="1"/>
      <c r="J6" s="1"/>
      <c r="K6" s="1"/>
      <c r="L6" s="1"/>
      <c r="M6" s="1"/>
      <c r="N6" s="1"/>
    </row>
    <row r="7" customFormat="false" ht="6" hidden="false" customHeight="true" outlineLevel="0" collapsed="false">
      <c r="A7" s="6"/>
      <c r="B7" s="6"/>
      <c r="C7" s="6"/>
      <c r="D7" s="6"/>
      <c r="E7" s="6"/>
      <c r="F7" s="6"/>
      <c r="G7" s="6"/>
      <c r="H7" s="6"/>
      <c r="I7" s="6"/>
      <c r="J7" s="6"/>
      <c r="K7" s="6"/>
      <c r="L7" s="6"/>
      <c r="M7" s="6"/>
      <c r="N7" s="6"/>
    </row>
    <row r="8" customFormat="false" ht="19.5" hidden="false" customHeight="true" outlineLevel="0" collapsed="false">
      <c r="A8" s="7"/>
      <c r="B8" s="8" t="s">
        <v>4</v>
      </c>
      <c r="C8" s="8"/>
      <c r="D8" s="8"/>
      <c r="E8" s="8"/>
      <c r="F8" s="8"/>
      <c r="G8" s="8"/>
      <c r="H8" s="8"/>
      <c r="I8" s="8"/>
      <c r="J8" s="8"/>
      <c r="K8" s="8"/>
      <c r="L8" s="8"/>
      <c r="M8" s="8"/>
      <c r="N8" s="7"/>
    </row>
    <row r="9" customFormat="false" ht="25.5" hidden="false" customHeight="true" outlineLevel="0" collapsed="false">
      <c r="A9" s="7"/>
      <c r="B9" s="9" t="s">
        <v>5</v>
      </c>
      <c r="C9" s="9"/>
      <c r="D9" s="9"/>
      <c r="E9" s="9"/>
      <c r="F9" s="9"/>
      <c r="G9" s="9"/>
      <c r="H9" s="9"/>
      <c r="I9" s="10" t="s">
        <v>6</v>
      </c>
      <c r="J9" s="10"/>
      <c r="K9" s="10"/>
      <c r="L9" s="10"/>
      <c r="M9" s="10"/>
      <c r="N9" s="7"/>
    </row>
    <row r="10" customFormat="false" ht="31.5" hidden="false" customHeight="true" outlineLevel="0" collapsed="false">
      <c r="A10" s="7"/>
      <c r="B10" s="11" t="str">
        <f aca="false">Settings!B2</f>
        <v>Mohammad Zargar</v>
      </c>
      <c r="C10" s="11"/>
      <c r="D10" s="11"/>
      <c r="E10" s="11"/>
      <c r="F10" s="11"/>
      <c r="G10" s="11"/>
      <c r="H10" s="11"/>
      <c r="I10" s="12" t="s">
        <v>7</v>
      </c>
      <c r="J10" s="12"/>
      <c r="K10" s="12"/>
      <c r="L10" s="12"/>
      <c r="M10" s="12"/>
      <c r="N10" s="7"/>
    </row>
    <row r="11" customFormat="false" ht="21.75" hidden="false" customHeight="true" outlineLevel="0" collapsed="false">
      <c r="A11" s="7"/>
      <c r="B11" s="13" t="str">
        <f aca="false">Settings!B3</f>
        <v>Process Improvement &amp; Business Systems</v>
      </c>
      <c r="C11" s="13"/>
      <c r="D11" s="13"/>
      <c r="E11" s="13"/>
      <c r="F11" s="13"/>
      <c r="G11" s="13"/>
      <c r="H11" s="13"/>
      <c r="I11" s="12"/>
      <c r="J11" s="12"/>
      <c r="K11" s="12"/>
      <c r="L11" s="12"/>
      <c r="M11" s="12"/>
      <c r="N11" s="7"/>
    </row>
    <row r="12" customFormat="false" ht="25.5" hidden="false" customHeight="true" outlineLevel="0" collapsed="false">
      <c r="A12" s="7"/>
      <c r="B12" s="14" t="str">
        <f aca="false">HYPERLINK(IF(LEFT(Settings!B4,4)="http",Settings!B4,"https://"&amp;Settings!B4),"💼   LinkedIn:  "&amp;SUBSTITUTE(SUBSTITUTE(Settings!B4,"https://",""),"www.",""))</f>
        <v>💼   LinkedIn:  linkedin.com/mohammad-zargar</v>
      </c>
      <c r="C12" s="14"/>
      <c r="D12" s="14"/>
      <c r="E12" s="14"/>
      <c r="F12" s="14"/>
      <c r="G12" s="14"/>
      <c r="H12" s="14"/>
      <c r="I12" s="12"/>
      <c r="J12" s="12"/>
      <c r="K12" s="12"/>
      <c r="L12" s="12"/>
      <c r="M12" s="12"/>
      <c r="N12" s="7"/>
    </row>
    <row r="13" customFormat="false" ht="30" hidden="false" customHeight="true" outlineLevel="0" collapsed="false">
      <c r="A13" s="7"/>
      <c r="B13" s="14" t="str">
        <f aca="false">HYPERLINK("mailto:"&amp;Settings!B5,"✉️   Email:  "&amp;Settings!B5)</f>
        <v>✉️   Email:  s.mohammad.zargar@gmail.com</v>
      </c>
      <c r="C13" s="14"/>
      <c r="D13" s="14"/>
      <c r="E13" s="14"/>
      <c r="F13" s="14"/>
      <c r="G13" s="14"/>
      <c r="H13" s="14"/>
      <c r="I13" s="15"/>
      <c r="J13" s="16" t="str">
        <f aca="false">HYPERLINK("mailto:"&amp;Settings!B5&amp;"?subject="&amp;SUBSTITUTE(Settings!B6," ","%20"),"Request full access  →")</f>
        <v>Request full access  →</v>
      </c>
      <c r="K13" s="16"/>
      <c r="L13" s="16"/>
      <c r="M13" s="6"/>
      <c r="N13" s="7"/>
    </row>
    <row r="14" customFormat="false" ht="12" hidden="false" customHeight="true" outlineLevel="0" collapsed="false">
      <c r="A14" s="7"/>
      <c r="B14" s="17"/>
      <c r="C14" s="17"/>
      <c r="D14" s="17"/>
      <c r="E14" s="17"/>
      <c r="F14" s="17"/>
      <c r="G14" s="17"/>
      <c r="H14" s="17"/>
      <c r="I14" s="15"/>
      <c r="J14" s="15"/>
      <c r="K14" s="15"/>
      <c r="L14" s="15"/>
      <c r="M14" s="15"/>
      <c r="N14" s="7"/>
    </row>
    <row r="15" customFormat="false" ht="18" hidden="false" customHeight="true" outlineLevel="0" collapsed="false">
      <c r="A15" s="7"/>
      <c r="B15" s="7"/>
      <c r="C15" s="7"/>
      <c r="D15" s="7"/>
      <c r="E15" s="7"/>
      <c r="F15" s="7"/>
      <c r="G15" s="7"/>
      <c r="H15" s="7"/>
      <c r="I15" s="7"/>
      <c r="J15" s="7"/>
      <c r="K15" s="7"/>
      <c r="L15" s="7"/>
      <c r="M15" s="7"/>
      <c r="N15" s="7"/>
    </row>
    <row r="16" customFormat="false" ht="25.5" hidden="false" customHeight="true" outlineLevel="0" collapsed="false">
      <c r="A16" s="7"/>
      <c r="B16" s="18" t="s">
        <v>8</v>
      </c>
      <c r="C16" s="18"/>
      <c r="D16" s="18"/>
      <c r="E16" s="18"/>
      <c r="F16" s="18"/>
      <c r="G16" s="18"/>
      <c r="H16" s="18"/>
      <c r="I16" s="18"/>
      <c r="J16" s="18"/>
      <c r="K16" s="18"/>
      <c r="L16" s="18"/>
      <c r="M16" s="18"/>
      <c r="N16" s="7"/>
    </row>
    <row r="17" customFormat="false" ht="39.75" hidden="false" customHeight="true" outlineLevel="0" collapsed="false">
      <c r="A17" s="7"/>
      <c r="B17" s="19" t="s">
        <v>9</v>
      </c>
      <c r="C17" s="19"/>
      <c r="D17" s="19"/>
      <c r="E17" s="19"/>
      <c r="F17" s="20" t="s">
        <v>10</v>
      </c>
      <c r="G17" s="20"/>
      <c r="H17" s="20"/>
      <c r="I17" s="20"/>
      <c r="J17" s="21" t="s">
        <v>11</v>
      </c>
      <c r="K17" s="21"/>
      <c r="L17" s="21"/>
      <c r="M17" s="21"/>
      <c r="N17" s="7"/>
    </row>
    <row r="18" customFormat="false" ht="24" hidden="false" customHeight="true" outlineLevel="0" collapsed="false">
      <c r="A18" s="7"/>
      <c r="B18" s="22" t="s">
        <v>12</v>
      </c>
      <c r="C18" s="22"/>
      <c r="D18" s="22"/>
      <c r="E18" s="22"/>
      <c r="F18" s="23" t="s">
        <v>13</v>
      </c>
      <c r="G18" s="23"/>
      <c r="H18" s="23"/>
      <c r="I18" s="23"/>
      <c r="J18" s="24" t="s">
        <v>14</v>
      </c>
      <c r="K18" s="24"/>
      <c r="L18" s="24"/>
      <c r="M18" s="24"/>
      <c r="N18" s="7"/>
    </row>
    <row r="19" customFormat="false" ht="61.5" hidden="false" customHeight="true" outlineLevel="0" collapsed="false">
      <c r="A19" s="7"/>
      <c r="B19" s="25" t="s">
        <v>15</v>
      </c>
      <c r="C19" s="25"/>
      <c r="D19" s="25"/>
      <c r="E19" s="25"/>
      <c r="F19" s="26" t="s">
        <v>16</v>
      </c>
      <c r="G19" s="26"/>
      <c r="H19" s="26"/>
      <c r="I19" s="26"/>
      <c r="J19" s="27" t="s">
        <v>17</v>
      </c>
      <c r="K19" s="27"/>
      <c r="L19" s="27"/>
      <c r="M19" s="27"/>
      <c r="N19" s="7"/>
    </row>
    <row r="20" customFormat="false" ht="15.75" hidden="false" customHeight="true" outlineLevel="0" collapsed="false">
      <c r="A20" s="7"/>
      <c r="B20" s="7"/>
      <c r="C20" s="7"/>
      <c r="D20" s="7"/>
      <c r="E20" s="7"/>
      <c r="F20" s="7"/>
      <c r="G20" s="7"/>
      <c r="H20" s="7"/>
      <c r="I20" s="7"/>
      <c r="J20" s="7"/>
      <c r="K20" s="7"/>
      <c r="L20" s="7"/>
      <c r="M20" s="7"/>
      <c r="N20" s="7"/>
    </row>
    <row r="21" customFormat="false" ht="25.5" hidden="false" customHeight="true" outlineLevel="0" collapsed="false">
      <c r="A21" s="7"/>
      <c r="B21" s="18" t="s">
        <v>18</v>
      </c>
      <c r="C21" s="18"/>
      <c r="D21" s="18"/>
      <c r="E21" s="18"/>
      <c r="F21" s="18"/>
      <c r="G21" s="18"/>
      <c r="H21" s="18"/>
      <c r="I21" s="18"/>
      <c r="J21" s="18"/>
      <c r="K21" s="18"/>
      <c r="L21" s="18"/>
      <c r="M21" s="18"/>
      <c r="N21" s="7"/>
    </row>
    <row r="22" customFormat="false" ht="37.5" hidden="false" customHeight="true" outlineLevel="0" collapsed="false">
      <c r="A22" s="7"/>
      <c r="B22" s="28" t="s">
        <v>19</v>
      </c>
      <c r="C22" s="28"/>
      <c r="D22" s="28"/>
      <c r="E22" s="28"/>
      <c r="F22" s="29" t="s">
        <v>20</v>
      </c>
      <c r="G22" s="29"/>
      <c r="H22" s="29"/>
      <c r="I22" s="29"/>
      <c r="J22" s="30" t="s">
        <v>21</v>
      </c>
      <c r="K22" s="30"/>
      <c r="L22" s="30"/>
      <c r="M22" s="30"/>
      <c r="N22" s="7"/>
    </row>
    <row r="23" customFormat="false" ht="21.75" hidden="false" customHeight="true" outlineLevel="0" collapsed="false">
      <c r="A23" s="7"/>
      <c r="B23" s="31" t="s">
        <v>22</v>
      </c>
      <c r="C23" s="31"/>
      <c r="D23" s="31"/>
      <c r="E23" s="31"/>
      <c r="F23" s="31" t="s">
        <v>23</v>
      </c>
      <c r="G23" s="31"/>
      <c r="H23" s="31"/>
      <c r="I23" s="31"/>
      <c r="J23" s="31" t="s">
        <v>24</v>
      </c>
      <c r="K23" s="31"/>
      <c r="L23" s="31"/>
      <c r="M23" s="31"/>
      <c r="N23" s="7"/>
    </row>
    <row r="24" customFormat="false" ht="49.5" hidden="false" customHeight="true" outlineLevel="0" collapsed="false">
      <c r="A24" s="7"/>
      <c r="B24" s="32" t="s">
        <v>25</v>
      </c>
      <c r="C24" s="32"/>
      <c r="D24" s="32"/>
      <c r="E24" s="32"/>
      <c r="F24" s="32" t="s">
        <v>26</v>
      </c>
      <c r="G24" s="32"/>
      <c r="H24" s="32"/>
      <c r="I24" s="32"/>
      <c r="J24" s="32" t="s">
        <v>27</v>
      </c>
      <c r="K24" s="32"/>
      <c r="L24" s="32"/>
      <c r="M24" s="32"/>
      <c r="N24" s="7"/>
    </row>
    <row r="25" customFormat="false" ht="15.75" hidden="false" customHeight="true" outlineLevel="0" collapsed="false">
      <c r="A25" s="7"/>
      <c r="B25" s="7"/>
      <c r="C25" s="7"/>
      <c r="D25" s="7"/>
      <c r="E25" s="7"/>
      <c r="F25" s="7"/>
      <c r="G25" s="7"/>
      <c r="H25" s="7"/>
      <c r="I25" s="7"/>
      <c r="J25" s="7"/>
      <c r="K25" s="7"/>
      <c r="L25" s="7"/>
      <c r="M25" s="7"/>
      <c r="N25" s="7"/>
    </row>
    <row r="26" customFormat="false" ht="25.5" hidden="false" customHeight="true" outlineLevel="0" collapsed="false">
      <c r="A26" s="7"/>
      <c r="B26" s="18" t="s">
        <v>28</v>
      </c>
      <c r="C26" s="18"/>
      <c r="D26" s="18"/>
      <c r="E26" s="18"/>
      <c r="F26" s="18"/>
      <c r="G26" s="18"/>
      <c r="H26" s="18"/>
      <c r="I26" s="18"/>
      <c r="J26" s="18"/>
      <c r="K26" s="18"/>
      <c r="L26" s="18"/>
      <c r="M26" s="18"/>
      <c r="N26" s="7"/>
    </row>
    <row r="27" customFormat="false" ht="25.5" hidden="false" customHeight="true" outlineLevel="0" collapsed="false">
      <c r="A27" s="7"/>
      <c r="B27" s="33" t="s">
        <v>29</v>
      </c>
      <c r="C27" s="33"/>
      <c r="D27" s="33"/>
      <c r="E27" s="34" t="s">
        <v>30</v>
      </c>
      <c r="F27" s="34"/>
      <c r="G27" s="34"/>
      <c r="H27" s="34"/>
      <c r="I27" s="34"/>
      <c r="J27" s="34"/>
      <c r="K27" s="34"/>
      <c r="L27" s="34"/>
      <c r="M27" s="34"/>
      <c r="N27" s="7"/>
    </row>
    <row r="28" customFormat="false" ht="25.5" hidden="false" customHeight="true" outlineLevel="0" collapsed="false">
      <c r="A28" s="7"/>
      <c r="B28" s="35" t="s">
        <v>31</v>
      </c>
      <c r="C28" s="35"/>
      <c r="D28" s="35"/>
      <c r="E28" s="34" t="s">
        <v>32</v>
      </c>
      <c r="F28" s="34"/>
      <c r="G28" s="34"/>
      <c r="H28" s="34"/>
      <c r="I28" s="34"/>
      <c r="J28" s="34"/>
      <c r="K28" s="34"/>
      <c r="L28" s="34"/>
      <c r="M28" s="34"/>
      <c r="N28" s="7"/>
    </row>
    <row r="29" customFormat="false" ht="25.5" hidden="false" customHeight="true" outlineLevel="0" collapsed="false">
      <c r="A29" s="7"/>
      <c r="B29" s="36" t="s">
        <v>33</v>
      </c>
      <c r="C29" s="36"/>
      <c r="D29" s="36"/>
      <c r="E29" s="34" t="s">
        <v>34</v>
      </c>
      <c r="F29" s="34"/>
      <c r="G29" s="34"/>
      <c r="H29" s="34"/>
      <c r="I29" s="34"/>
      <c r="J29" s="34"/>
      <c r="K29" s="34"/>
      <c r="L29" s="34"/>
      <c r="M29" s="34"/>
      <c r="N29" s="7"/>
    </row>
    <row r="30" customFormat="false" ht="25.5" hidden="false" customHeight="true" outlineLevel="0" collapsed="false">
      <c r="A30" s="7"/>
      <c r="B30" s="37" t="s">
        <v>35</v>
      </c>
      <c r="C30" s="37"/>
      <c r="D30" s="37"/>
      <c r="E30" s="34" t="s">
        <v>36</v>
      </c>
      <c r="F30" s="34"/>
      <c r="G30" s="34"/>
      <c r="H30" s="34"/>
      <c r="I30" s="34"/>
      <c r="J30" s="34"/>
      <c r="K30" s="34"/>
      <c r="L30" s="34"/>
      <c r="M30" s="34"/>
      <c r="N30" s="7"/>
    </row>
    <row r="31" customFormat="false" ht="25.5" hidden="false" customHeight="true" outlineLevel="0" collapsed="false">
      <c r="A31" s="7"/>
      <c r="B31" s="38" t="s">
        <v>37</v>
      </c>
      <c r="C31" s="38"/>
      <c r="D31" s="38"/>
      <c r="E31" s="34" t="s">
        <v>38</v>
      </c>
      <c r="F31" s="34"/>
      <c r="G31" s="34"/>
      <c r="H31" s="34"/>
      <c r="I31" s="34"/>
      <c r="J31" s="34"/>
      <c r="K31" s="34"/>
      <c r="L31" s="34"/>
      <c r="M31" s="34"/>
      <c r="N31" s="7"/>
    </row>
    <row r="32" customFormat="false" ht="25.5" hidden="false" customHeight="true" outlineLevel="0" collapsed="false">
      <c r="A32" s="7"/>
      <c r="B32" s="36" t="s">
        <v>39</v>
      </c>
      <c r="C32" s="36"/>
      <c r="D32" s="36"/>
      <c r="E32" s="34" t="s">
        <v>40</v>
      </c>
      <c r="F32" s="34"/>
      <c r="G32" s="34"/>
      <c r="H32" s="34"/>
      <c r="I32" s="34"/>
      <c r="J32" s="34"/>
      <c r="K32" s="34"/>
      <c r="L32" s="34"/>
      <c r="M32" s="34"/>
      <c r="N32" s="7"/>
    </row>
    <row r="33" customFormat="false" ht="25.5" hidden="false" customHeight="true" outlineLevel="0" collapsed="false">
      <c r="A33" s="7"/>
      <c r="B33" s="36" t="s">
        <v>41</v>
      </c>
      <c r="C33" s="36"/>
      <c r="D33" s="36"/>
      <c r="E33" s="34" t="s">
        <v>42</v>
      </c>
      <c r="F33" s="34"/>
      <c r="G33" s="34"/>
      <c r="H33" s="34"/>
      <c r="I33" s="34"/>
      <c r="J33" s="34"/>
      <c r="K33" s="34"/>
      <c r="L33" s="34"/>
      <c r="M33" s="34"/>
      <c r="N33" s="7"/>
    </row>
    <row r="34" customFormat="false" ht="25.5" hidden="false" customHeight="true" outlineLevel="0" collapsed="false">
      <c r="A34" s="7"/>
      <c r="B34" s="36" t="s">
        <v>43</v>
      </c>
      <c r="C34" s="36"/>
      <c r="D34" s="36"/>
      <c r="E34" s="34" t="s">
        <v>44</v>
      </c>
      <c r="F34" s="34"/>
      <c r="G34" s="34"/>
      <c r="H34" s="34"/>
      <c r="I34" s="34"/>
      <c r="J34" s="34"/>
      <c r="K34" s="34"/>
      <c r="L34" s="34"/>
      <c r="M34" s="34"/>
      <c r="N34" s="7"/>
    </row>
    <row r="35" customFormat="false" ht="15" hidden="false" customHeight="false" outlineLevel="0" collapsed="false">
      <c r="A35" s="7"/>
      <c r="B35" s="7"/>
      <c r="C35" s="7"/>
      <c r="D35" s="7"/>
      <c r="E35" s="7"/>
      <c r="F35" s="7"/>
      <c r="G35" s="7"/>
      <c r="H35" s="7"/>
      <c r="I35" s="7"/>
      <c r="J35" s="7"/>
      <c r="K35" s="7"/>
      <c r="L35" s="7"/>
      <c r="M35" s="7"/>
      <c r="N35" s="7"/>
    </row>
    <row r="36" customFormat="false" ht="39.75" hidden="false" customHeight="true" outlineLevel="0" collapsed="false">
      <c r="A36" s="7"/>
      <c r="B36" s="39" t="s">
        <v>45</v>
      </c>
      <c r="C36" s="39"/>
      <c r="D36" s="39"/>
      <c r="E36" s="39"/>
      <c r="F36" s="39"/>
      <c r="G36" s="39"/>
      <c r="H36" s="39"/>
      <c r="I36" s="39"/>
      <c r="J36" s="39"/>
      <c r="K36" s="39"/>
      <c r="L36" s="39"/>
      <c r="M36" s="39"/>
      <c r="N36" s="7"/>
    </row>
    <row r="37" customFormat="false" ht="21.75" hidden="false" customHeight="true" outlineLevel="0" collapsed="false">
      <c r="A37" s="7"/>
      <c r="B37" s="40" t="s">
        <v>46</v>
      </c>
      <c r="C37" s="40"/>
      <c r="D37" s="40"/>
      <c r="E37" s="40"/>
      <c r="F37" s="40"/>
      <c r="G37" s="40"/>
      <c r="H37" s="40"/>
      <c r="I37" s="40"/>
      <c r="J37" s="40"/>
      <c r="K37" s="40"/>
      <c r="L37" s="40"/>
      <c r="M37" s="40"/>
      <c r="N37" s="7"/>
    </row>
    <row r="38" customFormat="false" ht="27.75" hidden="false" customHeight="true" outlineLevel="0" collapsed="false">
      <c r="A38" s="7"/>
      <c r="B38" s="41" t="s">
        <v>47</v>
      </c>
      <c r="C38" s="41"/>
      <c r="D38" s="41"/>
      <c r="E38" s="41"/>
      <c r="F38" s="41"/>
      <c r="G38" s="41"/>
      <c r="H38" s="41"/>
      <c r="I38" s="41"/>
      <c r="J38" s="41"/>
      <c r="K38" s="41"/>
      <c r="L38" s="41"/>
      <c r="M38" s="41"/>
      <c r="N38" s="7"/>
    </row>
    <row r="39" customFormat="false" ht="24.75" hidden="false" customHeight="true" outlineLevel="0" collapsed="false">
      <c r="A39" s="7"/>
      <c r="B39" s="42" t="s">
        <v>48</v>
      </c>
      <c r="C39" s="42"/>
      <c r="D39" s="42"/>
      <c r="E39" s="43" t="s">
        <v>49</v>
      </c>
      <c r="F39" s="43"/>
      <c r="G39" s="43"/>
      <c r="H39" s="43"/>
      <c r="I39" s="43"/>
      <c r="J39" s="43"/>
      <c r="K39" s="43"/>
      <c r="L39" s="43"/>
      <c r="M39" s="43"/>
      <c r="N39" s="7"/>
    </row>
    <row r="40" customFormat="false" ht="39.75" hidden="false" customHeight="true" outlineLevel="0" collapsed="false">
      <c r="A40" s="7"/>
      <c r="B40" s="42" t="s">
        <v>50</v>
      </c>
      <c r="C40" s="42"/>
      <c r="D40" s="42"/>
      <c r="E40" s="43" t="s">
        <v>51</v>
      </c>
      <c r="F40" s="43"/>
      <c r="G40" s="43"/>
      <c r="H40" s="43"/>
      <c r="I40" s="43"/>
      <c r="J40" s="43"/>
      <c r="K40" s="43"/>
      <c r="L40" s="43"/>
      <c r="M40" s="43"/>
      <c r="N40" s="7"/>
    </row>
    <row r="41" customFormat="false" ht="24.75" hidden="false" customHeight="true" outlineLevel="0" collapsed="false">
      <c r="A41" s="7"/>
      <c r="B41" s="42" t="s">
        <v>52</v>
      </c>
      <c r="C41" s="42"/>
      <c r="D41" s="42"/>
      <c r="E41" s="43" t="s">
        <v>53</v>
      </c>
      <c r="F41" s="43"/>
      <c r="G41" s="43"/>
      <c r="H41" s="43"/>
      <c r="I41" s="43"/>
      <c r="J41" s="43"/>
      <c r="K41" s="43"/>
      <c r="L41" s="43"/>
      <c r="M41" s="43"/>
      <c r="N41" s="7"/>
    </row>
    <row r="42" customFormat="false" ht="39.75" hidden="false" customHeight="true" outlineLevel="0" collapsed="false">
      <c r="A42" s="7"/>
      <c r="B42" s="42" t="s">
        <v>54</v>
      </c>
      <c r="C42" s="42"/>
      <c r="D42" s="42"/>
      <c r="E42" s="43" t="s">
        <v>55</v>
      </c>
      <c r="F42" s="43"/>
      <c r="G42" s="43"/>
      <c r="H42" s="43"/>
      <c r="I42" s="43"/>
      <c r="J42" s="43"/>
      <c r="K42" s="43"/>
      <c r="L42" s="43"/>
      <c r="M42" s="43"/>
      <c r="N42" s="7"/>
    </row>
    <row r="43" customFormat="false" ht="54.75" hidden="false" customHeight="true" outlineLevel="0" collapsed="false">
      <c r="A43" s="7"/>
      <c r="B43" s="42" t="s">
        <v>56</v>
      </c>
      <c r="C43" s="42"/>
      <c r="D43" s="42"/>
      <c r="E43" s="43" t="s">
        <v>57</v>
      </c>
      <c r="F43" s="43"/>
      <c r="G43" s="43"/>
      <c r="H43" s="43"/>
      <c r="I43" s="43"/>
      <c r="J43" s="43"/>
      <c r="K43" s="43"/>
      <c r="L43" s="43"/>
      <c r="M43" s="43"/>
      <c r="N43" s="7"/>
    </row>
    <row r="44" customFormat="false" ht="39.75" hidden="false" customHeight="true" outlineLevel="0" collapsed="false">
      <c r="A44" s="7"/>
      <c r="B44" s="42" t="s">
        <v>58</v>
      </c>
      <c r="C44" s="42"/>
      <c r="D44" s="42"/>
      <c r="E44" s="43" t="s">
        <v>59</v>
      </c>
      <c r="F44" s="43"/>
      <c r="G44" s="43"/>
      <c r="H44" s="43"/>
      <c r="I44" s="43"/>
      <c r="J44" s="43"/>
      <c r="K44" s="43"/>
      <c r="L44" s="43"/>
      <c r="M44" s="43"/>
      <c r="N44" s="7"/>
    </row>
    <row r="45" customFormat="false" ht="15" hidden="false" customHeight="false" outlineLevel="0" collapsed="false">
      <c r="A45" s="7"/>
      <c r="B45" s="7"/>
      <c r="C45" s="7"/>
      <c r="D45" s="7"/>
      <c r="E45" s="7"/>
      <c r="F45" s="7"/>
      <c r="G45" s="7"/>
      <c r="H45" s="7"/>
      <c r="I45" s="7"/>
      <c r="J45" s="7"/>
      <c r="K45" s="7"/>
      <c r="L45" s="7"/>
      <c r="M45" s="7"/>
      <c r="N45" s="7"/>
    </row>
    <row r="46" customFormat="false" ht="27.75" hidden="false" customHeight="true" outlineLevel="0" collapsed="false">
      <c r="A46" s="7"/>
      <c r="B46" s="41" t="s">
        <v>60</v>
      </c>
      <c r="C46" s="41"/>
      <c r="D46" s="41"/>
      <c r="E46" s="41"/>
      <c r="F46" s="41"/>
      <c r="G46" s="41"/>
      <c r="H46" s="41"/>
      <c r="I46" s="41"/>
      <c r="J46" s="41"/>
      <c r="K46" s="41"/>
      <c r="L46" s="41"/>
      <c r="M46" s="41"/>
      <c r="N46" s="7"/>
    </row>
    <row r="47" customFormat="false" ht="54.75" hidden="false" customHeight="true" outlineLevel="0" collapsed="false">
      <c r="A47" s="7"/>
      <c r="B47" s="42" t="s">
        <v>48</v>
      </c>
      <c r="C47" s="42"/>
      <c r="D47" s="42"/>
      <c r="E47" s="43" t="s">
        <v>61</v>
      </c>
      <c r="F47" s="43"/>
      <c r="G47" s="43"/>
      <c r="H47" s="43"/>
      <c r="I47" s="43"/>
      <c r="J47" s="43"/>
      <c r="K47" s="43"/>
      <c r="L47" s="43"/>
      <c r="M47" s="43"/>
      <c r="N47" s="7"/>
    </row>
    <row r="48" customFormat="false" ht="39.75" hidden="false" customHeight="true" outlineLevel="0" collapsed="false">
      <c r="A48" s="7"/>
      <c r="B48" s="42" t="s">
        <v>50</v>
      </c>
      <c r="C48" s="42"/>
      <c r="D48" s="42"/>
      <c r="E48" s="43" t="s">
        <v>62</v>
      </c>
      <c r="F48" s="43"/>
      <c r="G48" s="43"/>
      <c r="H48" s="43"/>
      <c r="I48" s="43"/>
      <c r="J48" s="43"/>
      <c r="K48" s="43"/>
      <c r="L48" s="43"/>
      <c r="M48" s="43"/>
      <c r="N48" s="7"/>
    </row>
    <row r="49" customFormat="false" ht="39.75" hidden="false" customHeight="true" outlineLevel="0" collapsed="false">
      <c r="A49" s="7"/>
      <c r="B49" s="42" t="s">
        <v>63</v>
      </c>
      <c r="C49" s="42"/>
      <c r="D49" s="42"/>
      <c r="E49" s="43" t="s">
        <v>64</v>
      </c>
      <c r="F49" s="43"/>
      <c r="G49" s="43"/>
      <c r="H49" s="43"/>
      <c r="I49" s="43"/>
      <c r="J49" s="43"/>
      <c r="K49" s="43"/>
      <c r="L49" s="43"/>
      <c r="M49" s="43"/>
      <c r="N49" s="7"/>
    </row>
    <row r="50" customFormat="false" ht="39.75" hidden="false" customHeight="true" outlineLevel="0" collapsed="false">
      <c r="A50" s="7"/>
      <c r="B50" s="42" t="s">
        <v>65</v>
      </c>
      <c r="C50" s="42"/>
      <c r="D50" s="42"/>
      <c r="E50" s="43" t="s">
        <v>66</v>
      </c>
      <c r="F50" s="43"/>
      <c r="G50" s="43"/>
      <c r="H50" s="43"/>
      <c r="I50" s="43"/>
      <c r="J50" s="43"/>
      <c r="K50" s="43"/>
      <c r="L50" s="43"/>
      <c r="M50" s="43"/>
      <c r="N50" s="7"/>
    </row>
    <row r="51" customFormat="false" ht="15" hidden="false" customHeight="false" outlineLevel="0" collapsed="false">
      <c r="A51" s="7"/>
      <c r="B51" s="7"/>
      <c r="C51" s="7"/>
      <c r="D51" s="7"/>
      <c r="E51" s="7"/>
      <c r="F51" s="7"/>
      <c r="G51" s="7"/>
      <c r="H51" s="7"/>
      <c r="I51" s="7"/>
      <c r="J51" s="7"/>
      <c r="K51" s="7"/>
      <c r="L51" s="7"/>
      <c r="M51" s="7"/>
      <c r="N51" s="7"/>
    </row>
    <row r="52" customFormat="false" ht="27.75" hidden="false" customHeight="true" outlineLevel="0" collapsed="false">
      <c r="A52" s="7"/>
      <c r="B52" s="44" t="s">
        <v>67</v>
      </c>
      <c r="C52" s="44"/>
      <c r="D52" s="44"/>
      <c r="E52" s="44"/>
      <c r="F52" s="44"/>
      <c r="G52" s="44"/>
      <c r="H52" s="44"/>
      <c r="I52" s="44"/>
      <c r="J52" s="44"/>
      <c r="K52" s="44"/>
      <c r="L52" s="44"/>
      <c r="M52" s="44"/>
      <c r="N52" s="7"/>
    </row>
    <row r="53" customFormat="false" ht="24.75" hidden="false" customHeight="true" outlineLevel="0" collapsed="false">
      <c r="A53" s="7"/>
      <c r="B53" s="45" t="s">
        <v>48</v>
      </c>
      <c r="C53" s="45"/>
      <c r="D53" s="45"/>
      <c r="E53" s="43" t="s">
        <v>68</v>
      </c>
      <c r="F53" s="43"/>
      <c r="G53" s="43"/>
      <c r="H53" s="43"/>
      <c r="I53" s="43"/>
      <c r="J53" s="43"/>
      <c r="K53" s="43"/>
      <c r="L53" s="43"/>
      <c r="M53" s="43"/>
      <c r="N53" s="7"/>
    </row>
    <row r="54" customFormat="false" ht="39.75" hidden="false" customHeight="true" outlineLevel="0" collapsed="false">
      <c r="A54" s="7"/>
      <c r="B54" s="45" t="s">
        <v>50</v>
      </c>
      <c r="C54" s="45"/>
      <c r="D54" s="45"/>
      <c r="E54" s="43" t="s">
        <v>69</v>
      </c>
      <c r="F54" s="43"/>
      <c r="G54" s="43"/>
      <c r="H54" s="43"/>
      <c r="I54" s="43"/>
      <c r="J54" s="43"/>
      <c r="K54" s="43"/>
      <c r="L54" s="43"/>
      <c r="M54" s="43"/>
      <c r="N54" s="7"/>
    </row>
    <row r="55" customFormat="false" ht="39.75" hidden="false" customHeight="true" outlineLevel="0" collapsed="false">
      <c r="A55" s="7"/>
      <c r="B55" s="45" t="s">
        <v>52</v>
      </c>
      <c r="C55" s="45"/>
      <c r="D55" s="45"/>
      <c r="E55" s="43" t="s">
        <v>70</v>
      </c>
      <c r="F55" s="43"/>
      <c r="G55" s="43"/>
      <c r="H55" s="43"/>
      <c r="I55" s="43"/>
      <c r="J55" s="43"/>
      <c r="K55" s="43"/>
      <c r="L55" s="43"/>
      <c r="M55" s="43"/>
      <c r="N55" s="7"/>
    </row>
    <row r="56" customFormat="false" ht="24.75" hidden="false" customHeight="true" outlineLevel="0" collapsed="false">
      <c r="A56" s="7"/>
      <c r="B56" s="45" t="s">
        <v>71</v>
      </c>
      <c r="C56" s="45"/>
      <c r="D56" s="45"/>
      <c r="E56" s="43" t="s">
        <v>72</v>
      </c>
      <c r="F56" s="43"/>
      <c r="G56" s="43"/>
      <c r="H56" s="43"/>
      <c r="I56" s="43"/>
      <c r="J56" s="43"/>
      <c r="K56" s="43"/>
      <c r="L56" s="43"/>
      <c r="M56" s="43"/>
      <c r="N56" s="7"/>
    </row>
    <row r="57" customFormat="false" ht="24.75" hidden="false" customHeight="true" outlineLevel="0" collapsed="false">
      <c r="A57" s="7"/>
      <c r="B57" s="45" t="s">
        <v>54</v>
      </c>
      <c r="C57" s="45"/>
      <c r="D57" s="45"/>
      <c r="E57" s="43" t="s">
        <v>73</v>
      </c>
      <c r="F57" s="43"/>
      <c r="G57" s="43"/>
      <c r="H57" s="43"/>
      <c r="I57" s="43"/>
      <c r="J57" s="43"/>
      <c r="K57" s="43"/>
      <c r="L57" s="43"/>
      <c r="M57" s="43"/>
      <c r="N57" s="7"/>
    </row>
    <row r="58" customFormat="false" ht="24.75" hidden="false" customHeight="true" outlineLevel="0" collapsed="false">
      <c r="A58" s="7"/>
      <c r="B58" s="45" t="s">
        <v>74</v>
      </c>
      <c r="C58" s="45"/>
      <c r="D58" s="45"/>
      <c r="E58" s="43" t="s">
        <v>75</v>
      </c>
      <c r="F58" s="43"/>
      <c r="G58" s="43"/>
      <c r="H58" s="43"/>
      <c r="I58" s="43"/>
      <c r="J58" s="43"/>
      <c r="K58" s="43"/>
      <c r="L58" s="43"/>
      <c r="M58" s="43"/>
      <c r="N58" s="7"/>
    </row>
    <row r="59" customFormat="false" ht="15" hidden="false" customHeight="false" outlineLevel="0" collapsed="false">
      <c r="A59" s="7"/>
      <c r="B59" s="7"/>
      <c r="C59" s="7"/>
      <c r="D59" s="7"/>
      <c r="E59" s="7"/>
      <c r="F59" s="7"/>
      <c r="G59" s="7"/>
      <c r="H59" s="7"/>
      <c r="I59" s="7"/>
      <c r="J59" s="7"/>
      <c r="K59" s="7"/>
      <c r="L59" s="7"/>
      <c r="M59" s="7"/>
      <c r="N59" s="7"/>
    </row>
    <row r="60" customFormat="false" ht="27.75" hidden="false" customHeight="true" outlineLevel="0" collapsed="false">
      <c r="A60" s="7"/>
      <c r="B60" s="44" t="s">
        <v>76</v>
      </c>
      <c r="C60" s="44"/>
      <c r="D60" s="44"/>
      <c r="E60" s="44"/>
      <c r="F60" s="44"/>
      <c r="G60" s="44"/>
      <c r="H60" s="44"/>
      <c r="I60" s="44"/>
      <c r="J60" s="44"/>
      <c r="K60" s="44"/>
      <c r="L60" s="44"/>
      <c r="M60" s="44"/>
      <c r="N60" s="7"/>
    </row>
    <row r="61" customFormat="false" ht="39.75" hidden="false" customHeight="true" outlineLevel="0" collapsed="false">
      <c r="A61" s="7"/>
      <c r="B61" s="45" t="s">
        <v>77</v>
      </c>
      <c r="C61" s="45"/>
      <c r="D61" s="45"/>
      <c r="E61" s="43" t="s">
        <v>78</v>
      </c>
      <c r="F61" s="43"/>
      <c r="G61" s="43"/>
      <c r="H61" s="43"/>
      <c r="I61" s="43"/>
      <c r="J61" s="43"/>
      <c r="K61" s="43"/>
      <c r="L61" s="43"/>
      <c r="M61" s="43"/>
      <c r="N61" s="7"/>
    </row>
    <row r="62" customFormat="false" ht="39.75" hidden="false" customHeight="true" outlineLevel="0" collapsed="false">
      <c r="A62" s="7"/>
      <c r="B62" s="45" t="s">
        <v>79</v>
      </c>
      <c r="C62" s="45"/>
      <c r="D62" s="45"/>
      <c r="E62" s="43" t="s">
        <v>80</v>
      </c>
      <c r="F62" s="43"/>
      <c r="G62" s="43"/>
      <c r="H62" s="43"/>
      <c r="I62" s="43"/>
      <c r="J62" s="43"/>
      <c r="K62" s="43"/>
      <c r="L62" s="43"/>
      <c r="M62" s="43"/>
      <c r="N62" s="7"/>
    </row>
    <row r="63" customFormat="false" ht="24.75" hidden="false" customHeight="true" outlineLevel="0" collapsed="false">
      <c r="A63" s="7"/>
      <c r="B63" s="45" t="s">
        <v>81</v>
      </c>
      <c r="C63" s="45"/>
      <c r="D63" s="45"/>
      <c r="E63" s="43" t="s">
        <v>82</v>
      </c>
      <c r="F63" s="43"/>
      <c r="G63" s="43"/>
      <c r="H63" s="43"/>
      <c r="I63" s="43"/>
      <c r="J63" s="43"/>
      <c r="K63" s="43"/>
      <c r="L63" s="43"/>
      <c r="M63" s="43"/>
      <c r="N63" s="7"/>
    </row>
    <row r="64" customFormat="false" ht="24.75" hidden="false" customHeight="true" outlineLevel="0" collapsed="false">
      <c r="A64" s="7"/>
      <c r="B64" s="45" t="s">
        <v>83</v>
      </c>
      <c r="C64" s="45"/>
      <c r="D64" s="45"/>
      <c r="E64" s="43" t="s">
        <v>84</v>
      </c>
      <c r="F64" s="43"/>
      <c r="G64" s="43"/>
      <c r="H64" s="43"/>
      <c r="I64" s="43"/>
      <c r="J64" s="43"/>
      <c r="K64" s="43"/>
      <c r="L64" s="43"/>
      <c r="M64" s="43"/>
      <c r="N64" s="7"/>
    </row>
    <row r="65" customFormat="false" ht="24.75" hidden="false" customHeight="true" outlineLevel="0" collapsed="false">
      <c r="A65" s="7"/>
      <c r="B65" s="45" t="s">
        <v>85</v>
      </c>
      <c r="C65" s="45"/>
      <c r="D65" s="45"/>
      <c r="E65" s="43" t="s">
        <v>86</v>
      </c>
      <c r="F65" s="43"/>
      <c r="G65" s="43"/>
      <c r="H65" s="43"/>
      <c r="I65" s="43"/>
      <c r="J65" s="43"/>
      <c r="K65" s="43"/>
      <c r="L65" s="43"/>
      <c r="M65" s="43"/>
      <c r="N65" s="7"/>
    </row>
    <row r="66" customFormat="false" ht="24.75" hidden="false" customHeight="true" outlineLevel="0" collapsed="false">
      <c r="A66" s="7"/>
      <c r="B66" s="45" t="s">
        <v>87</v>
      </c>
      <c r="C66" s="45"/>
      <c r="D66" s="45"/>
      <c r="E66" s="43" t="s">
        <v>88</v>
      </c>
      <c r="F66" s="43"/>
      <c r="G66" s="43"/>
      <c r="H66" s="43"/>
      <c r="I66" s="43"/>
      <c r="J66" s="43"/>
      <c r="K66" s="43"/>
      <c r="L66" s="43"/>
      <c r="M66" s="43"/>
      <c r="N66" s="7"/>
    </row>
    <row r="67" customFormat="false" ht="39.75" hidden="false" customHeight="true" outlineLevel="0" collapsed="false">
      <c r="A67" s="7"/>
      <c r="B67" s="45" t="s">
        <v>89</v>
      </c>
      <c r="C67" s="45"/>
      <c r="D67" s="45"/>
      <c r="E67" s="43" t="s">
        <v>90</v>
      </c>
      <c r="F67" s="43"/>
      <c r="G67" s="43"/>
      <c r="H67" s="43"/>
      <c r="I67" s="43"/>
      <c r="J67" s="43"/>
      <c r="K67" s="43"/>
      <c r="L67" s="43"/>
      <c r="M67" s="43"/>
      <c r="N67" s="7"/>
    </row>
    <row r="68" customFormat="false" ht="39.75" hidden="false" customHeight="true" outlineLevel="0" collapsed="false">
      <c r="A68" s="7"/>
      <c r="B68" s="45" t="s">
        <v>91</v>
      </c>
      <c r="C68" s="45"/>
      <c r="D68" s="45"/>
      <c r="E68" s="43" t="s">
        <v>92</v>
      </c>
      <c r="F68" s="43"/>
      <c r="G68" s="43"/>
      <c r="H68" s="43"/>
      <c r="I68" s="43"/>
      <c r="J68" s="43"/>
      <c r="K68" s="43"/>
      <c r="L68" s="43"/>
      <c r="M68" s="43"/>
      <c r="N68" s="7"/>
    </row>
    <row r="69" customFormat="false" ht="39.75" hidden="false" customHeight="true" outlineLevel="0" collapsed="false">
      <c r="A69" s="7"/>
      <c r="B69" s="45" t="s">
        <v>93</v>
      </c>
      <c r="C69" s="45"/>
      <c r="D69" s="45"/>
      <c r="E69" s="43" t="s">
        <v>94</v>
      </c>
      <c r="F69" s="43"/>
      <c r="G69" s="43"/>
      <c r="H69" s="43"/>
      <c r="I69" s="43"/>
      <c r="J69" s="43"/>
      <c r="K69" s="43"/>
      <c r="L69" s="43"/>
      <c r="M69" s="43"/>
      <c r="N69" s="7"/>
    </row>
    <row r="70" customFormat="false" ht="15" hidden="false" customHeight="false" outlineLevel="0" collapsed="false">
      <c r="A70" s="7"/>
      <c r="B70" s="7"/>
      <c r="C70" s="7"/>
      <c r="D70" s="7"/>
      <c r="E70" s="7"/>
      <c r="F70" s="7"/>
      <c r="G70" s="7"/>
      <c r="H70" s="7"/>
      <c r="I70" s="7"/>
      <c r="J70" s="7"/>
      <c r="K70" s="7"/>
      <c r="L70" s="7"/>
      <c r="M70" s="7"/>
      <c r="N70" s="7"/>
    </row>
    <row r="71" customFormat="false" ht="27.75" hidden="false" customHeight="true" outlineLevel="0" collapsed="false">
      <c r="A71" s="7"/>
      <c r="B71" s="46" t="s">
        <v>95</v>
      </c>
      <c r="C71" s="46"/>
      <c r="D71" s="46"/>
      <c r="E71" s="46"/>
      <c r="F71" s="46"/>
      <c r="G71" s="46"/>
      <c r="H71" s="46"/>
      <c r="I71" s="46"/>
      <c r="J71" s="46"/>
      <c r="K71" s="46"/>
      <c r="L71" s="46"/>
      <c r="M71" s="46"/>
      <c r="N71" s="7"/>
    </row>
    <row r="72" customFormat="false" ht="39.75" hidden="false" customHeight="true" outlineLevel="0" collapsed="false">
      <c r="A72" s="7"/>
      <c r="B72" s="47" t="s">
        <v>48</v>
      </c>
      <c r="C72" s="47"/>
      <c r="D72" s="47"/>
      <c r="E72" s="43" t="s">
        <v>96</v>
      </c>
      <c r="F72" s="43"/>
      <c r="G72" s="43"/>
      <c r="H72" s="43"/>
      <c r="I72" s="43"/>
      <c r="J72" s="43"/>
      <c r="K72" s="43"/>
      <c r="L72" s="43"/>
      <c r="M72" s="43"/>
      <c r="N72" s="7"/>
    </row>
    <row r="73" customFormat="false" ht="39.75" hidden="false" customHeight="true" outlineLevel="0" collapsed="false">
      <c r="A73" s="7"/>
      <c r="B73" s="47" t="s">
        <v>50</v>
      </c>
      <c r="C73" s="47"/>
      <c r="D73" s="47"/>
      <c r="E73" s="43" t="s">
        <v>97</v>
      </c>
      <c r="F73" s="43"/>
      <c r="G73" s="43"/>
      <c r="H73" s="43"/>
      <c r="I73" s="43"/>
      <c r="J73" s="43"/>
      <c r="K73" s="43"/>
      <c r="L73" s="43"/>
      <c r="M73" s="43"/>
      <c r="N73" s="7"/>
    </row>
    <row r="74" customFormat="false" ht="39.75" hidden="false" customHeight="true" outlineLevel="0" collapsed="false">
      <c r="A74" s="7"/>
      <c r="B74" s="47" t="s">
        <v>52</v>
      </c>
      <c r="C74" s="47"/>
      <c r="D74" s="47"/>
      <c r="E74" s="43" t="s">
        <v>98</v>
      </c>
      <c r="F74" s="43"/>
      <c r="G74" s="43"/>
      <c r="H74" s="43"/>
      <c r="I74" s="43"/>
      <c r="J74" s="43"/>
      <c r="K74" s="43"/>
      <c r="L74" s="43"/>
      <c r="M74" s="43"/>
      <c r="N74" s="7"/>
    </row>
    <row r="75" customFormat="false" ht="24.75" hidden="false" customHeight="true" outlineLevel="0" collapsed="false">
      <c r="A75" s="7"/>
      <c r="B75" s="47" t="s">
        <v>54</v>
      </c>
      <c r="C75" s="47"/>
      <c r="D75" s="47"/>
      <c r="E75" s="43" t="s">
        <v>99</v>
      </c>
      <c r="F75" s="43"/>
      <c r="G75" s="43"/>
      <c r="H75" s="43"/>
      <c r="I75" s="43"/>
      <c r="J75" s="43"/>
      <c r="K75" s="43"/>
      <c r="L75" s="43"/>
      <c r="M75" s="43"/>
      <c r="N75" s="7"/>
    </row>
    <row r="76" customFormat="false" ht="69.75" hidden="false" customHeight="true" outlineLevel="0" collapsed="false">
      <c r="A76" s="7"/>
      <c r="B76" s="47" t="s">
        <v>100</v>
      </c>
      <c r="C76" s="47"/>
      <c r="D76" s="47"/>
      <c r="E76" s="43" t="s">
        <v>101</v>
      </c>
      <c r="F76" s="43"/>
      <c r="G76" s="43"/>
      <c r="H76" s="43"/>
      <c r="I76" s="43"/>
      <c r="J76" s="43"/>
      <c r="K76" s="43"/>
      <c r="L76" s="43"/>
      <c r="M76" s="43"/>
      <c r="N76" s="7"/>
    </row>
    <row r="77" customFormat="false" ht="24.75" hidden="false" customHeight="true" outlineLevel="0" collapsed="false">
      <c r="A77" s="7"/>
      <c r="B77" s="47" t="s">
        <v>102</v>
      </c>
      <c r="C77" s="47"/>
      <c r="D77" s="47"/>
      <c r="E77" s="43" t="s">
        <v>103</v>
      </c>
      <c r="F77" s="43"/>
      <c r="G77" s="43"/>
      <c r="H77" s="43"/>
      <c r="I77" s="43"/>
      <c r="J77" s="43"/>
      <c r="K77" s="43"/>
      <c r="L77" s="43"/>
      <c r="M77" s="43"/>
      <c r="N77" s="7"/>
    </row>
    <row r="78" customFormat="false" ht="15" hidden="false" customHeight="false" outlineLevel="0" collapsed="false">
      <c r="A78" s="7"/>
      <c r="B78" s="7"/>
      <c r="C78" s="7"/>
      <c r="D78" s="7"/>
      <c r="E78" s="7"/>
      <c r="F78" s="7"/>
      <c r="G78" s="7"/>
      <c r="H78" s="7"/>
      <c r="I78" s="7"/>
      <c r="J78" s="7"/>
      <c r="K78" s="7"/>
      <c r="L78" s="7"/>
      <c r="M78" s="7"/>
      <c r="N78" s="7"/>
    </row>
    <row r="79" customFormat="false" ht="27.75" hidden="false" customHeight="true" outlineLevel="0" collapsed="false">
      <c r="A79" s="7"/>
      <c r="B79" s="48" t="s">
        <v>104</v>
      </c>
      <c r="C79" s="48"/>
      <c r="D79" s="48"/>
      <c r="E79" s="48"/>
      <c r="F79" s="48"/>
      <c r="G79" s="48"/>
      <c r="H79" s="48"/>
      <c r="I79" s="48"/>
      <c r="J79" s="48"/>
      <c r="K79" s="48"/>
      <c r="L79" s="48"/>
      <c r="M79" s="48"/>
      <c r="N79" s="7"/>
    </row>
    <row r="80" customFormat="false" ht="24.75" hidden="false" customHeight="true" outlineLevel="0" collapsed="false">
      <c r="A80" s="7"/>
      <c r="B80" s="49" t="s">
        <v>105</v>
      </c>
      <c r="C80" s="49"/>
      <c r="D80" s="49"/>
      <c r="E80" s="43" t="s">
        <v>106</v>
      </c>
      <c r="F80" s="43"/>
      <c r="G80" s="43"/>
      <c r="H80" s="43"/>
      <c r="I80" s="43"/>
      <c r="J80" s="43"/>
      <c r="K80" s="43"/>
      <c r="L80" s="43"/>
      <c r="M80" s="43"/>
      <c r="N80" s="7"/>
    </row>
    <row r="81" customFormat="false" ht="24.75" hidden="false" customHeight="true" outlineLevel="0" collapsed="false">
      <c r="A81" s="7"/>
      <c r="B81" s="49" t="s">
        <v>107</v>
      </c>
      <c r="C81" s="49"/>
      <c r="D81" s="49"/>
      <c r="E81" s="43" t="s">
        <v>108</v>
      </c>
      <c r="F81" s="43"/>
      <c r="G81" s="43"/>
      <c r="H81" s="43"/>
      <c r="I81" s="43"/>
      <c r="J81" s="43"/>
      <c r="K81" s="43"/>
      <c r="L81" s="43"/>
      <c r="M81" s="43"/>
      <c r="N81" s="7"/>
    </row>
    <row r="82" customFormat="false" ht="24.75" hidden="false" customHeight="true" outlineLevel="0" collapsed="false">
      <c r="A82" s="7"/>
      <c r="B82" s="49" t="s">
        <v>109</v>
      </c>
      <c r="C82" s="49"/>
      <c r="D82" s="49"/>
      <c r="E82" s="43" t="s">
        <v>110</v>
      </c>
      <c r="F82" s="43"/>
      <c r="G82" s="43"/>
      <c r="H82" s="43"/>
      <c r="I82" s="43"/>
      <c r="J82" s="43"/>
      <c r="K82" s="43"/>
      <c r="L82" s="43"/>
      <c r="M82" s="43"/>
      <c r="N82" s="7"/>
    </row>
    <row r="83" customFormat="false" ht="54.75" hidden="false" customHeight="true" outlineLevel="0" collapsed="false">
      <c r="A83" s="7"/>
      <c r="B83" s="49" t="s">
        <v>111</v>
      </c>
      <c r="C83" s="49"/>
      <c r="D83" s="49"/>
      <c r="E83" s="43" t="s">
        <v>112</v>
      </c>
      <c r="F83" s="43"/>
      <c r="G83" s="43"/>
      <c r="H83" s="43"/>
      <c r="I83" s="43"/>
      <c r="J83" s="43"/>
      <c r="K83" s="43"/>
      <c r="L83" s="43"/>
      <c r="M83" s="43"/>
      <c r="N83" s="7"/>
    </row>
    <row r="84" customFormat="false" ht="24.75" hidden="false" customHeight="true" outlineLevel="0" collapsed="false">
      <c r="A84" s="7"/>
      <c r="B84" s="49" t="s">
        <v>113</v>
      </c>
      <c r="C84" s="49"/>
      <c r="D84" s="49"/>
      <c r="E84" s="43" t="s">
        <v>114</v>
      </c>
      <c r="F84" s="43"/>
      <c r="G84" s="43"/>
      <c r="H84" s="43"/>
      <c r="I84" s="43"/>
      <c r="J84" s="43"/>
      <c r="K84" s="43"/>
      <c r="L84" s="43"/>
      <c r="M84" s="43"/>
      <c r="N84" s="7"/>
    </row>
    <row r="85" customFormat="false" ht="39.75" hidden="false" customHeight="true" outlineLevel="0" collapsed="false">
      <c r="A85" s="7"/>
      <c r="B85" s="49" t="s">
        <v>115</v>
      </c>
      <c r="C85" s="49"/>
      <c r="D85" s="49"/>
      <c r="E85" s="43" t="s">
        <v>116</v>
      </c>
      <c r="F85" s="43"/>
      <c r="G85" s="43"/>
      <c r="H85" s="43"/>
      <c r="I85" s="43"/>
      <c r="J85" s="43"/>
      <c r="K85" s="43"/>
      <c r="L85" s="43"/>
      <c r="M85" s="43"/>
      <c r="N85" s="7"/>
    </row>
    <row r="86" customFormat="false" ht="15" hidden="false" customHeight="false" outlineLevel="0" collapsed="false">
      <c r="A86" s="7"/>
      <c r="B86" s="7"/>
      <c r="C86" s="7"/>
      <c r="D86" s="7"/>
      <c r="E86" s="7"/>
      <c r="F86" s="7"/>
      <c r="G86" s="7"/>
      <c r="H86" s="7"/>
      <c r="I86" s="7"/>
      <c r="J86" s="7"/>
      <c r="K86" s="7"/>
      <c r="L86" s="7"/>
      <c r="M86" s="7"/>
      <c r="N86" s="7"/>
    </row>
    <row r="87" customFormat="false" ht="27.75" hidden="false" customHeight="true" outlineLevel="0" collapsed="false">
      <c r="A87" s="7"/>
      <c r="B87" s="50" t="s">
        <v>117</v>
      </c>
      <c r="C87" s="50"/>
      <c r="D87" s="50"/>
      <c r="E87" s="50"/>
      <c r="F87" s="50"/>
      <c r="G87" s="50"/>
      <c r="H87" s="50"/>
      <c r="I87" s="50"/>
      <c r="J87" s="50"/>
      <c r="K87" s="50"/>
      <c r="L87" s="50"/>
      <c r="M87" s="50"/>
      <c r="N87" s="7"/>
    </row>
    <row r="88" customFormat="false" ht="39.75" hidden="false" customHeight="true" outlineLevel="0" collapsed="false">
      <c r="A88" s="7"/>
      <c r="B88" s="51" t="s">
        <v>118</v>
      </c>
      <c r="C88" s="51"/>
      <c r="D88" s="51"/>
      <c r="E88" s="43" t="s">
        <v>119</v>
      </c>
      <c r="F88" s="43"/>
      <c r="G88" s="43"/>
      <c r="H88" s="43"/>
      <c r="I88" s="43"/>
      <c r="J88" s="43"/>
      <c r="K88" s="43"/>
      <c r="L88" s="43"/>
      <c r="M88" s="43"/>
      <c r="N88" s="7"/>
    </row>
    <row r="89" customFormat="false" ht="24.75" hidden="false" customHeight="true" outlineLevel="0" collapsed="false">
      <c r="A89" s="7"/>
      <c r="B89" s="51" t="s">
        <v>120</v>
      </c>
      <c r="C89" s="51"/>
      <c r="D89" s="51"/>
      <c r="E89" s="43" t="s">
        <v>121</v>
      </c>
      <c r="F89" s="43"/>
      <c r="G89" s="43"/>
      <c r="H89" s="43"/>
      <c r="I89" s="43"/>
      <c r="J89" s="43"/>
      <c r="K89" s="43"/>
      <c r="L89" s="43"/>
      <c r="M89" s="43"/>
      <c r="N89" s="7"/>
    </row>
    <row r="90" customFormat="false" ht="54.75" hidden="false" customHeight="true" outlineLevel="0" collapsed="false">
      <c r="A90" s="7"/>
      <c r="B90" s="51" t="s">
        <v>122</v>
      </c>
      <c r="C90" s="51"/>
      <c r="D90" s="51"/>
      <c r="E90" s="43" t="s">
        <v>123</v>
      </c>
      <c r="F90" s="43"/>
      <c r="G90" s="43"/>
      <c r="H90" s="43"/>
      <c r="I90" s="43"/>
      <c r="J90" s="43"/>
      <c r="K90" s="43"/>
      <c r="L90" s="43"/>
      <c r="M90" s="43"/>
      <c r="N90" s="7"/>
    </row>
    <row r="91" customFormat="false" ht="54.75" hidden="false" customHeight="true" outlineLevel="0" collapsed="false">
      <c r="A91" s="7"/>
      <c r="B91" s="51" t="s">
        <v>124</v>
      </c>
      <c r="C91" s="51"/>
      <c r="D91" s="51"/>
      <c r="E91" s="43" t="s">
        <v>125</v>
      </c>
      <c r="F91" s="43"/>
      <c r="G91" s="43"/>
      <c r="H91" s="43"/>
      <c r="I91" s="43"/>
      <c r="J91" s="43"/>
      <c r="K91" s="43"/>
      <c r="L91" s="43"/>
      <c r="M91" s="43"/>
      <c r="N91" s="7"/>
    </row>
    <row r="92" customFormat="false" ht="15" hidden="false" customHeight="false" outlineLevel="0" collapsed="false">
      <c r="A92" s="7"/>
      <c r="B92" s="7"/>
      <c r="C92" s="7"/>
      <c r="D92" s="7"/>
      <c r="E92" s="7"/>
      <c r="F92" s="7"/>
      <c r="G92" s="7"/>
      <c r="H92" s="7"/>
      <c r="I92" s="7"/>
      <c r="J92" s="7"/>
      <c r="K92" s="7"/>
      <c r="L92" s="7"/>
      <c r="M92" s="7"/>
      <c r="N92" s="7"/>
    </row>
    <row r="93" customFormat="false" ht="27.75" hidden="false" customHeight="true" outlineLevel="0" collapsed="false">
      <c r="A93" s="7"/>
      <c r="B93" s="52" t="s">
        <v>126</v>
      </c>
      <c r="C93" s="52"/>
      <c r="D93" s="52"/>
      <c r="E93" s="52"/>
      <c r="F93" s="52"/>
      <c r="G93" s="52"/>
      <c r="H93" s="52"/>
      <c r="I93" s="52"/>
      <c r="J93" s="52"/>
      <c r="K93" s="52"/>
      <c r="L93" s="52"/>
      <c r="M93" s="52"/>
      <c r="N93" s="7"/>
    </row>
    <row r="94" customFormat="false" ht="54.75" hidden="false" customHeight="true" outlineLevel="0" collapsed="false">
      <c r="A94" s="7"/>
      <c r="B94" s="53" t="s">
        <v>127</v>
      </c>
      <c r="C94" s="53"/>
      <c r="D94" s="53"/>
      <c r="E94" s="43" t="s">
        <v>128</v>
      </c>
      <c r="F94" s="43"/>
      <c r="G94" s="43"/>
      <c r="H94" s="43"/>
      <c r="I94" s="43"/>
      <c r="J94" s="43"/>
      <c r="K94" s="43"/>
      <c r="L94" s="43"/>
      <c r="M94" s="43"/>
      <c r="N94" s="7"/>
    </row>
    <row r="95" customFormat="false" ht="39.75" hidden="false" customHeight="true" outlineLevel="0" collapsed="false">
      <c r="A95" s="7"/>
      <c r="B95" s="53" t="s">
        <v>58</v>
      </c>
      <c r="C95" s="53"/>
      <c r="D95" s="53"/>
      <c r="E95" s="43" t="s">
        <v>129</v>
      </c>
      <c r="F95" s="43"/>
      <c r="G95" s="43"/>
      <c r="H95" s="43"/>
      <c r="I95" s="43"/>
      <c r="J95" s="43"/>
      <c r="K95" s="43"/>
      <c r="L95" s="43"/>
      <c r="M95" s="43"/>
      <c r="N95" s="7"/>
    </row>
    <row r="96" customFormat="false" ht="15" hidden="false" customHeight="false" outlineLevel="0" collapsed="false">
      <c r="A96" s="7"/>
      <c r="B96" s="7"/>
      <c r="C96" s="7"/>
      <c r="D96" s="7"/>
      <c r="E96" s="7"/>
      <c r="F96" s="7"/>
      <c r="G96" s="7"/>
      <c r="H96" s="7"/>
      <c r="I96" s="7"/>
      <c r="J96" s="7"/>
      <c r="K96" s="7"/>
      <c r="L96" s="7"/>
      <c r="M96" s="7"/>
      <c r="N96" s="7"/>
    </row>
    <row r="97" customFormat="false" ht="27.75" hidden="false" customHeight="true" outlineLevel="0" collapsed="false">
      <c r="A97" s="7"/>
      <c r="B97" s="50" t="s">
        <v>130</v>
      </c>
      <c r="C97" s="50"/>
      <c r="D97" s="50"/>
      <c r="E97" s="50"/>
      <c r="F97" s="50"/>
      <c r="G97" s="50"/>
      <c r="H97" s="50"/>
      <c r="I97" s="50"/>
      <c r="J97" s="50"/>
      <c r="K97" s="50"/>
      <c r="L97" s="50"/>
      <c r="M97" s="50"/>
      <c r="N97" s="7"/>
    </row>
    <row r="98" customFormat="false" ht="39.75" hidden="false" customHeight="true" outlineLevel="0" collapsed="false">
      <c r="A98" s="7"/>
      <c r="B98" s="51" t="s">
        <v>131</v>
      </c>
      <c r="C98" s="51"/>
      <c r="D98" s="51"/>
      <c r="E98" s="43" t="s">
        <v>132</v>
      </c>
      <c r="F98" s="43"/>
      <c r="G98" s="43"/>
      <c r="H98" s="43"/>
      <c r="I98" s="43"/>
      <c r="J98" s="43"/>
      <c r="K98" s="43"/>
      <c r="L98" s="43"/>
      <c r="M98" s="43"/>
      <c r="N98" s="7"/>
    </row>
    <row r="99" customFormat="false" ht="39.75" hidden="false" customHeight="true" outlineLevel="0" collapsed="false">
      <c r="A99" s="7"/>
      <c r="B99" s="51" t="s">
        <v>133</v>
      </c>
      <c r="C99" s="51"/>
      <c r="D99" s="51"/>
      <c r="E99" s="43" t="s">
        <v>134</v>
      </c>
      <c r="F99" s="43"/>
      <c r="G99" s="43"/>
      <c r="H99" s="43"/>
      <c r="I99" s="43"/>
      <c r="J99" s="43"/>
      <c r="K99" s="43"/>
      <c r="L99" s="43"/>
      <c r="M99" s="43"/>
      <c r="N99" s="7"/>
    </row>
    <row r="100" customFormat="false" ht="39.75" hidden="false" customHeight="true" outlineLevel="0" collapsed="false">
      <c r="A100" s="7"/>
      <c r="B100" s="51" t="s">
        <v>135</v>
      </c>
      <c r="C100" s="51"/>
      <c r="D100" s="51"/>
      <c r="E100" s="43" t="s">
        <v>136</v>
      </c>
      <c r="F100" s="43"/>
      <c r="G100" s="43"/>
      <c r="H100" s="43"/>
      <c r="I100" s="43"/>
      <c r="J100" s="43"/>
      <c r="K100" s="43"/>
      <c r="L100" s="43"/>
      <c r="M100" s="43"/>
      <c r="N100" s="7"/>
    </row>
    <row r="101" customFormat="false" ht="24.75" hidden="false" customHeight="true" outlineLevel="0" collapsed="false">
      <c r="A101" s="7"/>
      <c r="B101" s="51" t="s">
        <v>137</v>
      </c>
      <c r="C101" s="51"/>
      <c r="D101" s="51"/>
      <c r="E101" s="43" t="s">
        <v>138</v>
      </c>
      <c r="F101" s="43"/>
      <c r="G101" s="43"/>
      <c r="H101" s="43"/>
      <c r="I101" s="43"/>
      <c r="J101" s="43"/>
      <c r="K101" s="43"/>
      <c r="L101" s="43"/>
      <c r="M101" s="43"/>
      <c r="N101" s="7"/>
    </row>
    <row r="102" customFormat="false" ht="15" hidden="false" customHeight="false" outlineLevel="0" collapsed="false">
      <c r="A102" s="7"/>
      <c r="B102" s="7"/>
      <c r="C102" s="7"/>
      <c r="D102" s="7"/>
      <c r="E102" s="7"/>
      <c r="F102" s="7"/>
      <c r="G102" s="7"/>
      <c r="H102" s="7"/>
      <c r="I102" s="7"/>
      <c r="J102" s="7"/>
      <c r="K102" s="7"/>
      <c r="L102" s="7"/>
      <c r="M102" s="7"/>
      <c r="N102" s="7"/>
    </row>
    <row r="103" customFormat="false" ht="30" hidden="false" customHeight="true" outlineLevel="0" collapsed="false">
      <c r="A103" s="7"/>
      <c r="B103" s="54" t="s">
        <v>139</v>
      </c>
      <c r="C103" s="54"/>
      <c r="D103" s="54"/>
      <c r="E103" s="54"/>
      <c r="F103" s="54"/>
      <c r="G103" s="54"/>
      <c r="H103" s="54"/>
      <c r="I103" s="54"/>
      <c r="J103" s="54"/>
      <c r="K103" s="54"/>
      <c r="L103" s="54"/>
      <c r="M103" s="54"/>
      <c r="N103" s="7"/>
    </row>
    <row r="104" customFormat="false" ht="15" hidden="false" customHeight="false" outlineLevel="0" collapsed="false">
      <c r="A104" s="7"/>
      <c r="B104" s="7"/>
      <c r="C104" s="7"/>
      <c r="D104" s="7"/>
      <c r="E104" s="7"/>
      <c r="F104" s="7"/>
      <c r="G104" s="7"/>
      <c r="H104" s="7"/>
      <c r="I104" s="7"/>
      <c r="J104" s="7"/>
      <c r="K104" s="7"/>
      <c r="L104" s="7"/>
      <c r="M104" s="7"/>
      <c r="N104" s="7"/>
    </row>
    <row r="105" customFormat="false" ht="25.5" hidden="false" customHeight="true" outlineLevel="0" collapsed="false">
      <c r="A105" s="7"/>
      <c r="B105" s="55" t="s">
        <v>140</v>
      </c>
      <c r="C105" s="55"/>
      <c r="D105" s="55"/>
      <c r="E105" s="55"/>
      <c r="F105" s="55"/>
      <c r="G105" s="55"/>
      <c r="H105" s="55"/>
      <c r="I105" s="55"/>
      <c r="J105" s="55"/>
      <c r="K105" s="55"/>
      <c r="L105" s="55"/>
      <c r="M105" s="55"/>
      <c r="N105" s="7"/>
    </row>
    <row r="106" customFormat="false" ht="24" hidden="false" customHeight="true" outlineLevel="0" collapsed="false">
      <c r="A106" s="7"/>
      <c r="B106" s="56" t="str">
        <f aca="false">"Licensed to:  "&amp;Settings!B7&amp;"      ·      Licensor:  "&amp;Settings!B2&amp;"      ·      "&amp;Settings!B5</f>
        <v>Licensed to:  Demo copy, not licensed for business use      ·      Licensor:  Mohammad Zargar      ·      s.mohammad.zargar@gmail.com</v>
      </c>
      <c r="C106" s="56"/>
      <c r="D106" s="56"/>
      <c r="E106" s="56"/>
      <c r="F106" s="56"/>
      <c r="G106" s="56"/>
      <c r="H106" s="56"/>
      <c r="I106" s="56"/>
      <c r="J106" s="56"/>
      <c r="K106" s="56"/>
      <c r="L106" s="56"/>
      <c r="M106" s="56"/>
      <c r="N106" s="7"/>
    </row>
    <row r="107" customFormat="false" ht="33.75" hidden="false" customHeight="true" outlineLevel="0" collapsed="false">
      <c r="A107" s="7"/>
      <c r="B107" s="57" t="s">
        <v>141</v>
      </c>
      <c r="C107" s="57"/>
      <c r="D107" s="58" t="s">
        <v>142</v>
      </c>
      <c r="E107" s="58"/>
      <c r="F107" s="58"/>
      <c r="G107" s="58"/>
      <c r="H107" s="58"/>
      <c r="I107" s="58"/>
      <c r="J107" s="58"/>
      <c r="K107" s="58"/>
      <c r="L107" s="58"/>
      <c r="M107" s="58"/>
      <c r="N107" s="7"/>
    </row>
    <row r="108" customFormat="false" ht="18.75" hidden="false" customHeight="true" outlineLevel="0" collapsed="false">
      <c r="A108" s="7"/>
      <c r="B108" s="57" t="s">
        <v>143</v>
      </c>
      <c r="C108" s="57"/>
      <c r="D108" s="58" t="s">
        <v>144</v>
      </c>
      <c r="E108" s="58"/>
      <c r="F108" s="58"/>
      <c r="G108" s="58"/>
      <c r="H108" s="58"/>
      <c r="I108" s="58"/>
      <c r="J108" s="58"/>
      <c r="K108" s="58"/>
      <c r="L108" s="58"/>
      <c r="M108" s="58"/>
      <c r="N108" s="7"/>
    </row>
    <row r="109" customFormat="false" ht="33.75" hidden="false" customHeight="true" outlineLevel="0" collapsed="false">
      <c r="A109" s="7"/>
      <c r="B109" s="57" t="s">
        <v>145</v>
      </c>
      <c r="C109" s="57"/>
      <c r="D109" s="58" t="s">
        <v>146</v>
      </c>
      <c r="E109" s="58"/>
      <c r="F109" s="58"/>
      <c r="G109" s="58"/>
      <c r="H109" s="58"/>
      <c r="I109" s="58"/>
      <c r="J109" s="58"/>
      <c r="K109" s="58"/>
      <c r="L109" s="58"/>
      <c r="M109" s="58"/>
      <c r="N109" s="7"/>
    </row>
    <row r="110" customFormat="false" ht="33.75" hidden="false" customHeight="true" outlineLevel="0" collapsed="false">
      <c r="A110" s="7"/>
      <c r="B110" s="57" t="s">
        <v>147</v>
      </c>
      <c r="C110" s="57"/>
      <c r="D110" s="58" t="s">
        <v>148</v>
      </c>
      <c r="E110" s="58"/>
      <c r="F110" s="58"/>
      <c r="G110" s="58"/>
      <c r="H110" s="58"/>
      <c r="I110" s="58"/>
      <c r="J110" s="58"/>
      <c r="K110" s="58"/>
      <c r="L110" s="58"/>
      <c r="M110" s="58"/>
      <c r="N110" s="7"/>
    </row>
    <row r="111" customFormat="false" ht="33.75" hidden="false" customHeight="true" outlineLevel="0" collapsed="false">
      <c r="A111" s="7"/>
      <c r="B111" s="57" t="s">
        <v>149</v>
      </c>
      <c r="C111" s="57"/>
      <c r="D111" s="58" t="s">
        <v>150</v>
      </c>
      <c r="E111" s="58"/>
      <c r="F111" s="58"/>
      <c r="G111" s="58"/>
      <c r="H111" s="58"/>
      <c r="I111" s="58"/>
      <c r="J111" s="58"/>
      <c r="K111" s="58"/>
      <c r="L111" s="58"/>
      <c r="M111" s="58"/>
      <c r="N111" s="7"/>
    </row>
    <row r="112" customFormat="false" ht="33.75" hidden="false" customHeight="true" outlineLevel="0" collapsed="false">
      <c r="A112" s="7"/>
      <c r="B112" s="57" t="s">
        <v>151</v>
      </c>
      <c r="C112" s="57"/>
      <c r="D112" s="58" t="s">
        <v>152</v>
      </c>
      <c r="E112" s="58"/>
      <c r="F112" s="58"/>
      <c r="G112" s="58"/>
      <c r="H112" s="58"/>
      <c r="I112" s="58"/>
      <c r="J112" s="58"/>
      <c r="K112" s="58"/>
      <c r="L112" s="58"/>
      <c r="M112" s="58"/>
      <c r="N112" s="7"/>
    </row>
    <row r="113" customFormat="false" ht="18.75" hidden="false" customHeight="true" outlineLevel="0" collapsed="false">
      <c r="A113" s="7"/>
      <c r="B113" s="57" t="s">
        <v>153</v>
      </c>
      <c r="C113" s="57"/>
      <c r="D113" s="58" t="s">
        <v>154</v>
      </c>
      <c r="E113" s="58"/>
      <c r="F113" s="58"/>
      <c r="G113" s="58"/>
      <c r="H113" s="58"/>
      <c r="I113" s="58"/>
      <c r="J113" s="58"/>
      <c r="K113" s="58"/>
      <c r="L113" s="58"/>
      <c r="M113" s="58"/>
      <c r="N113" s="7"/>
    </row>
    <row r="114" customFormat="false" ht="18.75" hidden="false" customHeight="true" outlineLevel="0" collapsed="false">
      <c r="A114" s="7"/>
      <c r="B114" s="57" t="s">
        <v>155</v>
      </c>
      <c r="C114" s="57"/>
      <c r="D114" s="58" t="s">
        <v>156</v>
      </c>
      <c r="E114" s="58"/>
      <c r="F114" s="58"/>
      <c r="G114" s="58"/>
      <c r="H114" s="58"/>
      <c r="I114" s="58"/>
      <c r="J114" s="58"/>
      <c r="K114" s="58"/>
      <c r="L114" s="58"/>
      <c r="M114" s="58"/>
      <c r="N114" s="7"/>
    </row>
    <row r="115" customFormat="false" ht="15" hidden="false" customHeight="false" outlineLevel="0" collapsed="false">
      <c r="A115" s="7"/>
      <c r="B115" s="7"/>
      <c r="C115" s="7"/>
      <c r="D115" s="7"/>
      <c r="E115" s="7"/>
      <c r="F115" s="7"/>
      <c r="G115" s="7"/>
      <c r="H115" s="7"/>
      <c r="I115" s="7"/>
      <c r="J115" s="7"/>
      <c r="K115" s="7"/>
      <c r="L115" s="7"/>
      <c r="M115" s="7"/>
      <c r="N115" s="7"/>
    </row>
    <row r="116" customFormat="false" ht="15" hidden="false" customHeight="false" outlineLevel="0" collapsed="false">
      <c r="A116" s="7"/>
      <c r="B116" s="7"/>
      <c r="C116" s="7"/>
      <c r="D116" s="7"/>
      <c r="E116" s="7"/>
      <c r="F116" s="7"/>
      <c r="G116" s="7"/>
      <c r="H116" s="7"/>
      <c r="I116" s="7"/>
      <c r="J116" s="7"/>
      <c r="K116" s="7"/>
      <c r="L116" s="7"/>
      <c r="M116" s="7"/>
      <c r="N116" s="7"/>
    </row>
  </sheetData>
  <mergeCells count="176">
    <mergeCell ref="B2:M2"/>
    <mergeCell ref="B3:M3"/>
    <mergeCell ref="B4:M4"/>
    <mergeCell ref="B5:M5"/>
    <mergeCell ref="B8:M8"/>
    <mergeCell ref="B9:H9"/>
    <mergeCell ref="I9:M9"/>
    <mergeCell ref="B10:H10"/>
    <mergeCell ref="I10:M12"/>
    <mergeCell ref="B11:H11"/>
    <mergeCell ref="B12:H12"/>
    <mergeCell ref="B13:H13"/>
    <mergeCell ref="J13:L13"/>
    <mergeCell ref="B14:H14"/>
    <mergeCell ref="I14:M14"/>
    <mergeCell ref="B16:M16"/>
    <mergeCell ref="B17:E17"/>
    <mergeCell ref="F17:I17"/>
    <mergeCell ref="J17:M17"/>
    <mergeCell ref="B18:E18"/>
    <mergeCell ref="F18:I18"/>
    <mergeCell ref="J18:M18"/>
    <mergeCell ref="B19:E19"/>
    <mergeCell ref="F19:I19"/>
    <mergeCell ref="J19:M19"/>
    <mergeCell ref="B21:M21"/>
    <mergeCell ref="B22:E22"/>
    <mergeCell ref="F22:I22"/>
    <mergeCell ref="J22:M22"/>
    <mergeCell ref="B23:E23"/>
    <mergeCell ref="F23:I23"/>
    <mergeCell ref="J23:M23"/>
    <mergeCell ref="B24:E24"/>
    <mergeCell ref="F24:I24"/>
    <mergeCell ref="J24:M24"/>
    <mergeCell ref="B26:M26"/>
    <mergeCell ref="B27:D27"/>
    <mergeCell ref="E27:M27"/>
    <mergeCell ref="B28:D28"/>
    <mergeCell ref="E28:M28"/>
    <mergeCell ref="B29:D29"/>
    <mergeCell ref="E29:M29"/>
    <mergeCell ref="B30:D30"/>
    <mergeCell ref="E30:M30"/>
    <mergeCell ref="B31:D31"/>
    <mergeCell ref="E31:M31"/>
    <mergeCell ref="B32:D32"/>
    <mergeCell ref="E32:M32"/>
    <mergeCell ref="B33:D33"/>
    <mergeCell ref="E33:M33"/>
    <mergeCell ref="B34:D34"/>
    <mergeCell ref="E34:M34"/>
    <mergeCell ref="B36:M36"/>
    <mergeCell ref="B37:M37"/>
    <mergeCell ref="B38:M38"/>
    <mergeCell ref="B39:D39"/>
    <mergeCell ref="E39:M39"/>
    <mergeCell ref="B40:D40"/>
    <mergeCell ref="E40:M40"/>
    <mergeCell ref="B41:D41"/>
    <mergeCell ref="E41:M41"/>
    <mergeCell ref="B42:D42"/>
    <mergeCell ref="E42:M42"/>
    <mergeCell ref="B43:D43"/>
    <mergeCell ref="E43:M43"/>
    <mergeCell ref="B44:D44"/>
    <mergeCell ref="E44:M44"/>
    <mergeCell ref="B46:M46"/>
    <mergeCell ref="B47:D47"/>
    <mergeCell ref="E47:M47"/>
    <mergeCell ref="B48:D48"/>
    <mergeCell ref="E48:M48"/>
    <mergeCell ref="B49:D49"/>
    <mergeCell ref="E49:M49"/>
    <mergeCell ref="B50:D50"/>
    <mergeCell ref="E50:M50"/>
    <mergeCell ref="B52:M52"/>
    <mergeCell ref="B53:D53"/>
    <mergeCell ref="E53:M53"/>
    <mergeCell ref="B54:D54"/>
    <mergeCell ref="E54:M54"/>
    <mergeCell ref="B55:D55"/>
    <mergeCell ref="E55:M55"/>
    <mergeCell ref="B56:D56"/>
    <mergeCell ref="E56:M56"/>
    <mergeCell ref="B57:D57"/>
    <mergeCell ref="E57:M57"/>
    <mergeCell ref="B58:D58"/>
    <mergeCell ref="E58:M58"/>
    <mergeCell ref="B60:M60"/>
    <mergeCell ref="B61:D61"/>
    <mergeCell ref="E61:M61"/>
    <mergeCell ref="B62:D62"/>
    <mergeCell ref="E62:M62"/>
    <mergeCell ref="B63:D63"/>
    <mergeCell ref="E63:M63"/>
    <mergeCell ref="B64:D64"/>
    <mergeCell ref="E64:M64"/>
    <mergeCell ref="B65:D65"/>
    <mergeCell ref="E65:M65"/>
    <mergeCell ref="B66:D66"/>
    <mergeCell ref="E66:M66"/>
    <mergeCell ref="B67:D67"/>
    <mergeCell ref="E67:M67"/>
    <mergeCell ref="B68:D68"/>
    <mergeCell ref="E68:M68"/>
    <mergeCell ref="B69:D69"/>
    <mergeCell ref="E69:M69"/>
    <mergeCell ref="B71:M71"/>
    <mergeCell ref="B72:D72"/>
    <mergeCell ref="E72:M72"/>
    <mergeCell ref="B73:D73"/>
    <mergeCell ref="E73:M73"/>
    <mergeCell ref="B74:D74"/>
    <mergeCell ref="E74:M74"/>
    <mergeCell ref="B75:D75"/>
    <mergeCell ref="E75:M75"/>
    <mergeCell ref="B76:D76"/>
    <mergeCell ref="E76:M76"/>
    <mergeCell ref="B77:D77"/>
    <mergeCell ref="E77:M77"/>
    <mergeCell ref="B79:M79"/>
    <mergeCell ref="B80:D80"/>
    <mergeCell ref="E80:M80"/>
    <mergeCell ref="B81:D81"/>
    <mergeCell ref="E81:M81"/>
    <mergeCell ref="B82:D82"/>
    <mergeCell ref="E82:M82"/>
    <mergeCell ref="B83:D83"/>
    <mergeCell ref="E83:M83"/>
    <mergeCell ref="B84:D84"/>
    <mergeCell ref="E84:M84"/>
    <mergeCell ref="B85:D85"/>
    <mergeCell ref="E85:M85"/>
    <mergeCell ref="B87:M87"/>
    <mergeCell ref="B88:D88"/>
    <mergeCell ref="E88:M88"/>
    <mergeCell ref="B89:D89"/>
    <mergeCell ref="E89:M89"/>
    <mergeCell ref="B90:D90"/>
    <mergeCell ref="E90:M90"/>
    <mergeCell ref="B91:D91"/>
    <mergeCell ref="E91:M91"/>
    <mergeCell ref="B93:M93"/>
    <mergeCell ref="B94:D94"/>
    <mergeCell ref="E94:M94"/>
    <mergeCell ref="B95:D95"/>
    <mergeCell ref="E95:M95"/>
    <mergeCell ref="B97:M97"/>
    <mergeCell ref="B98:D98"/>
    <mergeCell ref="E98:M98"/>
    <mergeCell ref="B99:D99"/>
    <mergeCell ref="E99:M99"/>
    <mergeCell ref="B100:D100"/>
    <mergeCell ref="E100:M100"/>
    <mergeCell ref="B101:D101"/>
    <mergeCell ref="E101:M101"/>
    <mergeCell ref="B103:M103"/>
    <mergeCell ref="B105:M105"/>
    <mergeCell ref="B106:M106"/>
    <mergeCell ref="B107:C107"/>
    <mergeCell ref="D107:M107"/>
    <mergeCell ref="B108:C108"/>
    <mergeCell ref="D108:M108"/>
    <mergeCell ref="B109:C109"/>
    <mergeCell ref="D109:M109"/>
    <mergeCell ref="B110:C110"/>
    <mergeCell ref="D110:M110"/>
    <mergeCell ref="B111:C111"/>
    <mergeCell ref="D111:M111"/>
    <mergeCell ref="B112:C112"/>
    <mergeCell ref="D112:M112"/>
    <mergeCell ref="B113:C113"/>
    <mergeCell ref="D113:M113"/>
    <mergeCell ref="B114:C114"/>
    <mergeCell ref="D114:M1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3"/>
  </cols>
  <sheetData>
    <row r="1" customFormat="false" ht="42" hidden="false" customHeight="true" outlineLevel="0" collapsed="false">
      <c r="A1" s="59" t="s">
        <v>157</v>
      </c>
      <c r="B1" s="59"/>
      <c r="C1" s="59"/>
      <c r="D1" s="59"/>
      <c r="E1" s="59"/>
      <c r="F1" s="59"/>
      <c r="G1" s="59"/>
      <c r="H1" s="59"/>
      <c r="I1" s="59"/>
      <c r="J1" s="59"/>
      <c r="K1" s="59"/>
      <c r="L1" s="59"/>
    </row>
    <row r="2" customFormat="false" ht="24" hidden="false" customHeight="true" outlineLevel="0" collapsed="false">
      <c r="A2" s="60" t="s">
        <v>158</v>
      </c>
      <c r="B2" s="60"/>
      <c r="C2" s="60"/>
      <c r="D2" s="60"/>
      <c r="E2" s="60"/>
      <c r="F2" s="60"/>
      <c r="G2" s="60"/>
      <c r="H2" s="60"/>
      <c r="I2" s="60"/>
      <c r="J2" s="60"/>
      <c r="K2" s="60"/>
      <c r="L2" s="60"/>
    </row>
    <row r="3" customFormat="false" ht="4.5" hidden="false" customHeight="true" outlineLevel="0" collapsed="false">
      <c r="A3" s="6"/>
      <c r="B3" s="6"/>
      <c r="C3" s="6"/>
      <c r="D3" s="6"/>
      <c r="E3" s="6"/>
      <c r="F3" s="6"/>
      <c r="G3" s="6"/>
      <c r="H3" s="6"/>
      <c r="I3" s="6"/>
      <c r="J3" s="6"/>
      <c r="K3" s="6"/>
      <c r="L3" s="6"/>
    </row>
    <row r="4" customFormat="false" ht="27.75" hidden="false" customHeight="true" outlineLevel="0" collapsed="false">
      <c r="A4" s="61" t="s">
        <v>159</v>
      </c>
      <c r="B4" s="61"/>
      <c r="C4" s="61"/>
      <c r="D4" s="62" t="s">
        <v>160</v>
      </c>
      <c r="E4" s="62"/>
      <c r="F4" s="62"/>
      <c r="G4" s="63" t="s">
        <v>161</v>
      </c>
      <c r="H4" s="63"/>
      <c r="I4" s="63"/>
      <c r="J4" s="64" t="s">
        <v>162</v>
      </c>
      <c r="K4" s="64"/>
      <c r="L4" s="64"/>
    </row>
    <row r="5" customFormat="false" ht="30" hidden="false" customHeight="true" outlineLevel="0" collapsed="false">
      <c r="A5" s="65" t="n">
        <f aca="false">COUNTA(Candidates!$A$2:$A$201)</f>
        <v>40</v>
      </c>
      <c r="B5" s="65"/>
      <c r="C5" s="65"/>
      <c r="D5" s="66" t="n">
        <f aca="false">COUNTIF(Candidates!$M$2:$M$201,"Hired")</f>
        <v>5</v>
      </c>
      <c r="E5" s="66"/>
      <c r="F5" s="66"/>
      <c r="G5" s="67" t="n">
        <f aca="false">COUNTIF(Positions!$L$2:$L$51,"Open")</f>
        <v>6</v>
      </c>
      <c r="H5" s="67"/>
      <c r="I5" s="67"/>
      <c r="J5" s="68" t="n">
        <f aca="false">COUNTIF(Candidates!$X$2:$X$201,1)+COUNTIF(Candidates!$X$2:$X$201,2)</f>
        <v>5</v>
      </c>
      <c r="K5" s="68"/>
      <c r="L5" s="68"/>
    </row>
    <row r="6" customFormat="false" ht="30" hidden="false" customHeight="true" outlineLevel="0" collapsed="false">
      <c r="A6" s="65"/>
      <c r="B6" s="65"/>
      <c r="C6" s="65"/>
      <c r="D6" s="66"/>
      <c r="E6" s="66"/>
      <c r="F6" s="66"/>
      <c r="G6" s="67"/>
      <c r="H6" s="67"/>
      <c r="I6" s="67"/>
      <c r="J6" s="68"/>
      <c r="K6" s="68"/>
      <c r="L6" s="68"/>
    </row>
    <row r="7" customFormat="false" ht="24" hidden="false" customHeight="true" outlineLevel="0" collapsed="false">
      <c r="A7" s="69" t="s">
        <v>163</v>
      </c>
      <c r="B7" s="69"/>
      <c r="C7" s="69"/>
      <c r="D7" s="69" t="str">
        <f aca="false">"Hired = "&amp;IF(COUNTA(Candidates!$A$2:$A$201)=0,"0%",TEXT(COUNTIF(Candidates!$M$2:$M$201,"Hired")/COUNTA(Candidates!$A$2:$A$201),"0%"))&amp;" of all candidates"</f>
        <v>Hired = 13% of all candidates</v>
      </c>
      <c r="E7" s="69"/>
      <c r="F7" s="69"/>
      <c r="G7" s="69" t="str">
        <f aca="false">SUMIF(Positions!$L$2:$L$51,"Open",Positions!$M$2:$M$51)&amp;" openings to fill"</f>
        <v>10 openings to fill</v>
      </c>
      <c r="H7" s="69"/>
      <c r="I7" s="69"/>
      <c r="J7" s="69" t="str">
        <f aca="false">"Today: "&amp;COUNTIF(Candidates!$X$2:$X$201,1)&amp;"   |   Tomorrow: "&amp;COUNTIF(Candidates!$X$2:$X$201,2)</f>
        <v>Today: 2   |   Tomorrow: 3</v>
      </c>
      <c r="K7" s="69"/>
      <c r="L7" s="69"/>
    </row>
    <row r="8" customFormat="false" ht="15" hidden="false" customHeight="false" outlineLevel="0" collapsed="false">
      <c r="A8" s="7"/>
      <c r="B8" s="7"/>
      <c r="C8" s="7"/>
      <c r="D8" s="7"/>
      <c r="E8" s="7"/>
      <c r="F8" s="7"/>
      <c r="G8" s="7"/>
      <c r="H8" s="7"/>
      <c r="I8" s="7"/>
      <c r="J8" s="7"/>
      <c r="K8" s="7"/>
      <c r="L8" s="7"/>
    </row>
    <row r="9" customFormat="false" ht="25.5" hidden="false" customHeight="true" outlineLevel="0" collapsed="false">
      <c r="A9" s="48" t="s">
        <v>161</v>
      </c>
      <c r="B9" s="70"/>
      <c r="C9" s="70"/>
      <c r="D9" s="70"/>
      <c r="E9" s="70"/>
      <c r="F9" s="70"/>
      <c r="G9" s="71" t="s">
        <v>164</v>
      </c>
      <c r="H9" s="72"/>
      <c r="I9" s="72"/>
      <c r="J9" s="72"/>
      <c r="K9" s="72"/>
      <c r="L9" s="72"/>
    </row>
    <row r="10" customFormat="false" ht="15" hidden="false" customHeight="false" outlineLevel="0" collapsed="false">
      <c r="A10" s="73" t="s">
        <v>165</v>
      </c>
      <c r="B10" s="73"/>
      <c r="C10" s="73"/>
      <c r="D10" s="74" t="s">
        <v>166</v>
      </c>
      <c r="E10" s="74" t="s">
        <v>65</v>
      </c>
      <c r="F10" s="74" t="s">
        <v>167</v>
      </c>
      <c r="G10" s="75" t="s">
        <v>168</v>
      </c>
      <c r="H10" s="75"/>
      <c r="I10" s="73" t="s">
        <v>169</v>
      </c>
      <c r="J10" s="73"/>
      <c r="K10" s="74" t="s">
        <v>170</v>
      </c>
      <c r="L10" s="74" t="s">
        <v>171</v>
      </c>
    </row>
    <row r="11" customFormat="false" ht="21.75" hidden="false" customHeight="true" outlineLevel="0" collapsed="false">
      <c r="A11" s="76" t="str">
        <f aca="false">IFERROR(INDEX(Positions!$C$2:$C$51,MATCH(1,Positions!$Q$2:$Q$51,0))&amp;"   |   "&amp;INDEX(Positions!$B$2:$B$51,MATCH(1,Positions!$Q$2:$Q$51,0)),IF(1=1,"No open positions",""))</f>
        <v>Operations Manager   |   Operations</v>
      </c>
      <c r="B11" s="76"/>
      <c r="C11" s="76"/>
      <c r="D11" s="77" t="str">
        <f aca="false">IFERROR(INDEX(Positions!$E$2:$E$51,MATCH(1,Positions!$Q$2:$Q$51,0)),"")</f>
        <v>Chicago, IL</v>
      </c>
      <c r="E11" s="77" t="n">
        <f aca="false">IFERROR(INDEX(Positions!$M$2:$M$51,MATCH(1,Positions!$Q$2:$Q$51,0)),"")</f>
        <v>1</v>
      </c>
      <c r="F11" s="78" t="n">
        <f aca="true">IFERROR(TODAY()-INDEX(Positions!$N$2:$N$51,MATCH(1,Positions!$Q$2:$Q$51,0)),"")</f>
        <v>27</v>
      </c>
      <c r="G11" s="79" t="str">
        <f aca="false">IFERROR(INDEX(Candidates!$C$2:$C$201,MATCH(1,Candidates!$Y$2:$Y$201,0)),IF(1=1,"Nobody is due today or tomorrow",""))</f>
        <v>Jessica Miller</v>
      </c>
      <c r="H11" s="79"/>
      <c r="I11" s="80" t="str">
        <f aca="false">IFERROR(INDEX(Candidates!$E$2:$E$201,MATCH(1,Candidates!$Y$2:$Y$201,0)),"")</f>
        <v>Quality Engineer</v>
      </c>
      <c r="J11" s="80"/>
      <c r="K11" s="77" t="str">
        <f aca="false">IFERROR(IF(INDEX(Candidates!$X$2:$X$201,MATCH(1,Candidates!$Y$2:$Y$201,0))=1,"Today","Tomorrow"),"")</f>
        <v>Today</v>
      </c>
      <c r="L11" s="77" t="str">
        <f aca="false">IFERROR(IF(INDEX(Candidates!$N$2:$N$201,MATCH(1,Candidates!$Y$2:$Y$201,0))="Strong Future Fit","Strong","Potential"),"")</f>
        <v>Potential</v>
      </c>
    </row>
    <row r="12" customFormat="false" ht="21.75" hidden="false" customHeight="true" outlineLevel="0" collapsed="false">
      <c r="A12" s="76" t="str">
        <f aca="false">IFERROR(INDEX(Positions!$C$2:$C$51,MATCH(2,Positions!$Q$2:$Q$51,0))&amp;"   |   "&amp;INDEX(Positions!$B$2:$B$51,MATCH(2,Positions!$Q$2:$Q$51,0)),IF(2=1,"No open positions",""))</f>
        <v>Data Analyst   |   Analytics</v>
      </c>
      <c r="B12" s="76"/>
      <c r="C12" s="76"/>
      <c r="D12" s="77" t="str">
        <f aca="false">IFERROR(INDEX(Positions!$E$2:$E$51,MATCH(2,Positions!$Q$2:$Q$51,0)),"")</f>
        <v>Austin, TX</v>
      </c>
      <c r="E12" s="77" t="n">
        <f aca="false">IFERROR(INDEX(Positions!$M$2:$M$51,MATCH(2,Positions!$Q$2:$Q$51,0)),"")</f>
        <v>2</v>
      </c>
      <c r="F12" s="78" t="n">
        <f aca="true">IFERROR(TODAY()-INDEX(Positions!$N$2:$N$51,MATCH(2,Positions!$Q$2:$Q$51,0)),"")</f>
        <v>20</v>
      </c>
      <c r="G12" s="79" t="str">
        <f aca="false">IFERROR(INDEX(Candidates!$C$2:$C$201,MATCH(2,Candidates!$Y$2:$Y$201,0)),IF(2=1,"Nobody is due today or tomorrow",""))</f>
        <v>Jessica Thomas</v>
      </c>
      <c r="H12" s="79"/>
      <c r="I12" s="80" t="str">
        <f aca="false">IFERROR(INDEX(Candidates!$E$2:$E$201,MATCH(2,Candidates!$Y$2:$Y$201,0)),"")</f>
        <v>Marketing Manager</v>
      </c>
      <c r="J12" s="80"/>
      <c r="K12" s="77" t="str">
        <f aca="false">IFERROR(IF(INDEX(Candidates!$X$2:$X$201,MATCH(2,Candidates!$Y$2:$Y$201,0))=1,"Today","Tomorrow"),"")</f>
        <v>Today</v>
      </c>
      <c r="L12" s="77" t="str">
        <f aca="false">IFERROR(IF(INDEX(Candidates!$N$2:$N$201,MATCH(2,Candidates!$Y$2:$Y$201,0))="Strong Future Fit","Strong","Potential"),"")</f>
        <v>Potential</v>
      </c>
    </row>
    <row r="13" customFormat="false" ht="21.75" hidden="false" customHeight="true" outlineLevel="0" collapsed="false">
      <c r="A13" s="76" t="str">
        <f aca="false">IFERROR(INDEX(Positions!$C$2:$C$51,MATCH(3,Positions!$Q$2:$Q$51,0))&amp;"   |   "&amp;INDEX(Positions!$B$2:$B$51,MATCH(3,Positions!$Q$2:$Q$51,0)),IF(3=1,"No open positions",""))</f>
        <v>HR Generalist   |   Human Resources</v>
      </c>
      <c r="B13" s="76"/>
      <c r="C13" s="76"/>
      <c r="D13" s="77" t="str">
        <f aca="false">IFERROR(INDEX(Positions!$E$2:$E$51,MATCH(3,Positions!$Q$2:$Q$51,0)),"")</f>
        <v>Atlanta, GA</v>
      </c>
      <c r="E13" s="77" t="n">
        <f aca="false">IFERROR(INDEX(Positions!$M$2:$M$51,MATCH(3,Positions!$Q$2:$Q$51,0)),"")</f>
        <v>1</v>
      </c>
      <c r="F13" s="78" t="n">
        <f aca="true">IFERROR(TODAY()-INDEX(Positions!$N$2:$N$51,MATCH(3,Positions!$Q$2:$Q$51,0)),"")</f>
        <v>13</v>
      </c>
      <c r="G13" s="79" t="str">
        <f aca="false">IFERROR(INDEX(Candidates!$C$2:$C$201,MATCH(3,Candidates!$Y$2:$Y$201,0)),IF(3=1,"Nobody is due today or tomorrow",""))</f>
        <v>Jessica Anderson</v>
      </c>
      <c r="H13" s="79"/>
      <c r="I13" s="80" t="str">
        <f aca="false">IFERROR(INDEX(Candidates!$E$2:$E$201,MATCH(3,Candidates!$Y$2:$Y$201,0)),"")</f>
        <v>Quality Engineer</v>
      </c>
      <c r="J13" s="80"/>
      <c r="K13" s="77" t="str">
        <f aca="false">IFERROR(IF(INDEX(Candidates!$X$2:$X$201,MATCH(3,Candidates!$Y$2:$Y$201,0))=1,"Today","Tomorrow"),"")</f>
        <v>Tomorrow</v>
      </c>
      <c r="L13" s="77" t="str">
        <f aca="false">IFERROR(IF(INDEX(Candidates!$N$2:$N$201,MATCH(3,Candidates!$Y$2:$Y$201,0))="Strong Future Fit","Strong","Potential"),"")</f>
        <v>Potential</v>
      </c>
    </row>
    <row r="14" customFormat="false" ht="21.75" hidden="false" customHeight="true" outlineLevel="0" collapsed="false">
      <c r="A14" s="76" t="str">
        <f aca="false">IFERROR(INDEX(Positions!$C$2:$C$51,MATCH(4,Positions!$Q$2:$Q$51,0))&amp;"   |   "&amp;INDEX(Positions!$B$2:$B$51,MATCH(4,Positions!$Q$2:$Q$51,0)),IF(4=1,"No open positions",""))</f>
        <v>Account Executive   |   Sales</v>
      </c>
      <c r="B14" s="76"/>
      <c r="C14" s="76"/>
      <c r="D14" s="77" t="str">
        <f aca="false">IFERROR(INDEX(Positions!$E$2:$E$51,MATCH(4,Positions!$Q$2:$Q$51,0)),"")</f>
        <v>Dallas, TX</v>
      </c>
      <c r="E14" s="77" t="n">
        <f aca="false">IFERROR(INDEX(Positions!$M$2:$M$51,MATCH(4,Positions!$Q$2:$Q$51,0)),"")</f>
        <v>3</v>
      </c>
      <c r="F14" s="78" t="n">
        <f aca="true">IFERROR(TODAY()-INDEX(Positions!$N$2:$N$51,MATCH(4,Positions!$Q$2:$Q$51,0)),"")</f>
        <v>34</v>
      </c>
      <c r="G14" s="79" t="str">
        <f aca="false">IFERROR(INDEX(Candidates!$C$2:$C$201,MATCH(4,Candidates!$Y$2:$Y$201,0)),IF(4=1,"Nobody is due today or tomorrow",""))</f>
        <v>Megan Martin</v>
      </c>
      <c r="H14" s="79"/>
      <c r="I14" s="80" t="str">
        <f aca="false">IFERROR(INDEX(Candidates!$E$2:$E$201,MATCH(4,Candidates!$Y$2:$Y$201,0)),"")</f>
        <v>Quality Engineer</v>
      </c>
      <c r="J14" s="80"/>
      <c r="K14" s="77" t="str">
        <f aca="false">IFERROR(IF(INDEX(Candidates!$X$2:$X$201,MATCH(4,Candidates!$Y$2:$Y$201,0))=1,"Today","Tomorrow"),"")</f>
        <v>Tomorrow</v>
      </c>
      <c r="L14" s="77" t="str">
        <f aca="false">IFERROR(IF(INDEX(Candidates!$N$2:$N$201,MATCH(4,Candidates!$Y$2:$Y$201,0))="Strong Future Fit","Strong","Potential"),"")</f>
        <v>Potential</v>
      </c>
    </row>
    <row r="15" customFormat="false" ht="21.75" hidden="false" customHeight="true" outlineLevel="0" collapsed="false">
      <c r="A15" s="76" t="str">
        <f aca="false">IFERROR(INDEX(Positions!$C$2:$C$51,MATCH(5,Positions!$Q$2:$Q$51,0))&amp;"   |   "&amp;INDEX(Positions!$B$2:$B$51,MATCH(5,Positions!$Q$2:$Q$51,0)),IF(5=1,"No open positions",""))</f>
        <v>Marketing Manager   |   Marketing</v>
      </c>
      <c r="B15" s="76"/>
      <c r="C15" s="76"/>
      <c r="D15" s="77" t="str">
        <f aca="false">IFERROR(INDEX(Positions!$E$2:$E$51,MATCH(5,Positions!$Q$2:$Q$51,0)),"")</f>
        <v>Denver, CO</v>
      </c>
      <c r="E15" s="77" t="n">
        <f aca="false">IFERROR(INDEX(Positions!$M$2:$M$51,MATCH(5,Positions!$Q$2:$Q$51,0)),"")</f>
        <v>1</v>
      </c>
      <c r="F15" s="78" t="n">
        <f aca="true">IFERROR(TODAY()-INDEX(Positions!$N$2:$N$51,MATCH(5,Positions!$Q$2:$Q$51,0)),"")</f>
        <v>6</v>
      </c>
      <c r="G15" s="79" t="str">
        <f aca="false">IFERROR(INDEX(Candidates!$C$2:$C$201,MATCH(5,Candidates!$Y$2:$Y$201,0)),IF(5=1,"Nobody is due today or tomorrow",""))</f>
        <v>Jason White</v>
      </c>
      <c r="H15" s="79"/>
      <c r="I15" s="80" t="str">
        <f aca="false">IFERROR(INDEX(Candidates!$E$2:$E$201,MATCH(5,Candidates!$Y$2:$Y$201,0)),"")</f>
        <v>Staff Accountant</v>
      </c>
      <c r="J15" s="80"/>
      <c r="K15" s="77" t="str">
        <f aca="false">IFERROR(IF(INDEX(Candidates!$X$2:$X$201,MATCH(5,Candidates!$Y$2:$Y$201,0))=1,"Today","Tomorrow"),"")</f>
        <v>Tomorrow</v>
      </c>
      <c r="L15" s="77" t="str">
        <f aca="false">IFERROR(IF(INDEX(Candidates!$N$2:$N$201,MATCH(5,Candidates!$Y$2:$Y$201,0))="Strong Future Fit","Strong","Potential"),"")</f>
        <v>Potential</v>
      </c>
    </row>
    <row r="16" customFormat="false" ht="21.75" hidden="false" customHeight="true" outlineLevel="0" collapsed="false">
      <c r="A16" s="76" t="str">
        <f aca="false">IFERROR(INDEX(Positions!$C$2:$C$51,MATCH(6,Positions!$Q$2:$Q$51,0))&amp;"   |   "&amp;INDEX(Positions!$B$2:$B$51,MATCH(6,Positions!$Q$2:$Q$51,0)),IF(6=1,"No open positions",""))</f>
        <v>Software Engineer   |   Engineering</v>
      </c>
      <c r="B16" s="76"/>
      <c r="C16" s="76"/>
      <c r="D16" s="77" t="str">
        <f aca="false">IFERROR(INDEX(Positions!$E$2:$E$51,MATCH(6,Positions!$Q$2:$Q$51,0)),"")</f>
        <v>Austin, TX</v>
      </c>
      <c r="E16" s="77" t="n">
        <f aca="false">IFERROR(INDEX(Positions!$M$2:$M$51,MATCH(6,Positions!$Q$2:$Q$51,0)),"")</f>
        <v>2</v>
      </c>
      <c r="F16" s="78" t="n">
        <f aca="true">IFERROR(TODAY()-INDEX(Positions!$N$2:$N$51,MATCH(6,Positions!$Q$2:$Q$51,0)),"")</f>
        <v>18</v>
      </c>
      <c r="G16" s="79" t="str">
        <f aca="false">IFERROR(INDEX(Candidates!$C$2:$C$201,MATCH(6,Candidates!$Y$2:$Y$201,0)),IF(6=1,"Nobody is due today or tomorrow",""))</f>
        <v/>
      </c>
      <c r="H16" s="79"/>
      <c r="I16" s="80" t="str">
        <f aca="false">IFERROR(INDEX(Candidates!$E$2:$E$201,MATCH(6,Candidates!$Y$2:$Y$201,0)),"")</f>
        <v/>
      </c>
      <c r="J16" s="80"/>
      <c r="K16" s="77" t="str">
        <f aca="false">IFERROR(IF(INDEX(Candidates!$X$2:$X$201,MATCH(6,Candidates!$Y$2:$Y$201,0))=1,"Today","Tomorrow"),"")</f>
        <v/>
      </c>
      <c r="L16" s="77" t="str">
        <f aca="false">IFERROR(IF(INDEX(Candidates!$N$2:$N$201,MATCH(6,Candidates!$Y$2:$Y$201,0))="Strong Future Fit","Strong","Potential"),"")</f>
        <v/>
      </c>
    </row>
    <row r="17" customFormat="false" ht="21.75" hidden="false" customHeight="true" outlineLevel="0" collapsed="false">
      <c r="A17" s="76" t="str">
        <f aca="false">IFERROR(INDEX(Positions!$C$2:$C$51,MATCH(7,Positions!$Q$2:$Q$51,0))&amp;"   |   "&amp;INDEX(Positions!$B$2:$B$51,MATCH(7,Positions!$Q$2:$Q$51,0)),IF(7=1,"No open positions",""))</f>
        <v/>
      </c>
      <c r="B17" s="76"/>
      <c r="C17" s="76"/>
      <c r="D17" s="77" t="str">
        <f aca="false">IFERROR(INDEX(Positions!$E$2:$E$51,MATCH(7,Positions!$Q$2:$Q$51,0)),"")</f>
        <v/>
      </c>
      <c r="E17" s="77" t="str">
        <f aca="false">IFERROR(INDEX(Positions!$M$2:$M$51,MATCH(7,Positions!$Q$2:$Q$51,0)),"")</f>
        <v/>
      </c>
      <c r="F17" s="78" t="str">
        <f aca="true">IFERROR(TODAY()-INDEX(Positions!$N$2:$N$51,MATCH(7,Positions!$Q$2:$Q$51,0)),"")</f>
        <v/>
      </c>
      <c r="G17" s="79" t="str">
        <f aca="false">IFERROR(INDEX(Candidates!$C$2:$C$201,MATCH(7,Candidates!$Y$2:$Y$201,0)),IF(7=1,"Nobody is due today or tomorrow",""))</f>
        <v/>
      </c>
      <c r="H17" s="79"/>
      <c r="I17" s="80" t="str">
        <f aca="false">IFERROR(INDEX(Candidates!$E$2:$E$201,MATCH(7,Candidates!$Y$2:$Y$201,0)),"")</f>
        <v/>
      </c>
      <c r="J17" s="80"/>
      <c r="K17" s="77" t="str">
        <f aca="false">IFERROR(IF(INDEX(Candidates!$X$2:$X$201,MATCH(7,Candidates!$Y$2:$Y$201,0))=1,"Today","Tomorrow"),"")</f>
        <v/>
      </c>
      <c r="L17" s="77" t="str">
        <f aca="false">IFERROR(IF(INDEX(Candidates!$N$2:$N$201,MATCH(7,Candidates!$Y$2:$Y$201,0))="Strong Future Fit","Strong","Potential"),"")</f>
        <v/>
      </c>
    </row>
    <row r="18" customFormat="false" ht="21.75" hidden="false" customHeight="true" outlineLevel="0" collapsed="false">
      <c r="A18" s="76" t="str">
        <f aca="false">IFERROR(INDEX(Positions!$C$2:$C$51,MATCH(8,Positions!$Q$2:$Q$51,0))&amp;"   |   "&amp;INDEX(Positions!$B$2:$B$51,MATCH(8,Positions!$Q$2:$Q$51,0)),IF(8=1,"No open positions",""))</f>
        <v/>
      </c>
      <c r="B18" s="76"/>
      <c r="C18" s="76"/>
      <c r="D18" s="77" t="str">
        <f aca="false">IFERROR(INDEX(Positions!$E$2:$E$51,MATCH(8,Positions!$Q$2:$Q$51,0)),"")</f>
        <v/>
      </c>
      <c r="E18" s="77" t="str">
        <f aca="false">IFERROR(INDEX(Positions!$M$2:$M$51,MATCH(8,Positions!$Q$2:$Q$51,0)),"")</f>
        <v/>
      </c>
      <c r="F18" s="78" t="str">
        <f aca="true">IFERROR(TODAY()-INDEX(Positions!$N$2:$N$51,MATCH(8,Positions!$Q$2:$Q$51,0)),"")</f>
        <v/>
      </c>
      <c r="G18" s="79" t="str">
        <f aca="false">IFERROR(INDEX(Candidates!$C$2:$C$201,MATCH(8,Candidates!$Y$2:$Y$201,0)),IF(8=1,"Nobody is due today or tomorrow",""))</f>
        <v/>
      </c>
      <c r="H18" s="79"/>
      <c r="I18" s="80" t="str">
        <f aca="false">IFERROR(INDEX(Candidates!$E$2:$E$201,MATCH(8,Candidates!$Y$2:$Y$201,0)),"")</f>
        <v/>
      </c>
      <c r="J18" s="80"/>
      <c r="K18" s="77" t="str">
        <f aca="false">IFERROR(IF(INDEX(Candidates!$X$2:$X$201,MATCH(8,Candidates!$Y$2:$Y$201,0))=1,"Today","Tomorrow"),"")</f>
        <v/>
      </c>
      <c r="L18" s="77" t="str">
        <f aca="false">IFERROR(IF(INDEX(Candidates!$N$2:$N$201,MATCH(8,Candidates!$Y$2:$Y$201,0))="Strong Future Fit","Strong","Potential"),"")</f>
        <v/>
      </c>
    </row>
    <row r="19" customFormat="false" ht="15" hidden="false" customHeight="false" outlineLevel="0" collapsed="false">
      <c r="A19" s="81" t="str">
        <f aca="false">IF(COUNTIF(Positions!$L$2:$L$51,"Open")&gt;8,"+ "&amp;(COUNTIF(Positions!$L$2:$L$51,"Open")-8)&amp;" more in the Positions tab","")</f>
        <v/>
      </c>
      <c r="B19" s="7"/>
      <c r="C19" s="7"/>
      <c r="D19" s="7"/>
      <c r="E19" s="7"/>
      <c r="F19" s="7"/>
      <c r="G19" s="81" t="str">
        <f aca="false">IF(COUNTIF(Candidates!$X$2:$X$201,1)+COUNTIF(Candidates!$X$2:$X$201,2)&gt;8,"+ more in the Follow-Up tab","")</f>
        <v/>
      </c>
      <c r="H19" s="7"/>
      <c r="I19" s="7"/>
      <c r="J19" s="7"/>
      <c r="K19" s="7"/>
      <c r="L19" s="7"/>
    </row>
    <row r="20" customFormat="false" ht="15" hidden="false" customHeight="false" outlineLevel="0" collapsed="false">
      <c r="A20" s="7"/>
      <c r="B20" s="7"/>
      <c r="C20" s="7"/>
      <c r="D20" s="7"/>
      <c r="E20" s="7"/>
      <c r="F20" s="7"/>
      <c r="G20" s="7"/>
      <c r="H20" s="7"/>
      <c r="I20" s="7"/>
      <c r="J20" s="7"/>
      <c r="K20" s="7"/>
      <c r="L20" s="7"/>
    </row>
    <row r="21" customFormat="false" ht="15" hidden="false" customHeight="false" outlineLevel="0" collapsed="false">
      <c r="A21" s="7"/>
      <c r="B21" s="7"/>
      <c r="C21" s="7"/>
      <c r="D21" s="7"/>
      <c r="E21" s="7"/>
      <c r="F21" s="7"/>
      <c r="G21" s="7"/>
      <c r="H21" s="7"/>
      <c r="I21" s="7"/>
      <c r="J21" s="7"/>
      <c r="K21" s="7"/>
      <c r="L21" s="7"/>
    </row>
    <row r="22" customFormat="false" ht="15" hidden="false" customHeight="false" outlineLevel="0" collapsed="false">
      <c r="A22" s="7"/>
      <c r="B22" s="7"/>
      <c r="C22" s="7"/>
      <c r="D22" s="7"/>
      <c r="E22" s="7"/>
      <c r="F22" s="7"/>
      <c r="G22" s="7"/>
      <c r="H22" s="7"/>
      <c r="I22" s="7"/>
      <c r="J22" s="7"/>
      <c r="K22" s="7"/>
      <c r="L22" s="7"/>
    </row>
    <row r="23" customFormat="false" ht="15" hidden="false" customHeight="false" outlineLevel="0" collapsed="false">
      <c r="A23" s="7"/>
      <c r="B23" s="7"/>
      <c r="C23" s="7"/>
      <c r="D23" s="7"/>
      <c r="E23" s="7"/>
      <c r="F23" s="7"/>
      <c r="G23" s="7"/>
      <c r="H23" s="7"/>
      <c r="I23" s="7"/>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82" t="s">
        <v>172</v>
      </c>
      <c r="B56" s="7"/>
      <c r="C56" s="7"/>
      <c r="D56" s="7"/>
      <c r="E56" s="7"/>
      <c r="F56" s="7"/>
      <c r="G56" s="7"/>
      <c r="H56" s="7"/>
      <c r="I56" s="7"/>
      <c r="J56" s="7"/>
      <c r="K56" s="7"/>
      <c r="L56" s="7"/>
    </row>
    <row r="57" customFormat="false" ht="22.35" hidden="false" customHeight="false" outlineLevel="0" collapsed="false">
      <c r="A57" s="83" t="s">
        <v>63</v>
      </c>
      <c r="B57" s="83" t="s">
        <v>173</v>
      </c>
      <c r="C57" s="7"/>
      <c r="D57" s="83" t="s">
        <v>174</v>
      </c>
      <c r="E57" s="83" t="s">
        <v>173</v>
      </c>
      <c r="F57" s="7"/>
      <c r="G57" s="83" t="s">
        <v>175</v>
      </c>
      <c r="H57" s="83" t="s">
        <v>173</v>
      </c>
      <c r="I57" s="7"/>
      <c r="J57" s="83" t="s">
        <v>176</v>
      </c>
      <c r="K57" s="83" t="s">
        <v>173</v>
      </c>
      <c r="L57" s="7"/>
    </row>
    <row r="58" customFormat="false" ht="15" hidden="false" customHeight="false" outlineLevel="0" collapsed="false">
      <c r="A58" s="84" t="s">
        <v>177</v>
      </c>
      <c r="B58" s="84" t="n">
        <f aca="false">COUNTIF(Candidates!$M$2:$M$201,"Applied")</f>
        <v>0</v>
      </c>
      <c r="C58" s="7"/>
      <c r="D58" s="84" t="s">
        <v>178</v>
      </c>
      <c r="E58" s="84" t="n">
        <f aca="false">COUNTIF(Candidates!$N$2:$N$201,"Strong Future Fit")</f>
        <v>8</v>
      </c>
      <c r="F58" s="7"/>
      <c r="G58" s="84" t="s">
        <v>179</v>
      </c>
      <c r="H58" s="84" t="n">
        <f aca="false">COUNTIF(Candidates!$F$2:$F$201,"Operations")</f>
        <v>6</v>
      </c>
      <c r="I58" s="7"/>
      <c r="J58" s="84" t="s">
        <v>180</v>
      </c>
      <c r="K58" s="84" t="n">
        <f aca="true">COUNTIFS(Candidates!$R$2:$R$201,"&lt;"&amp;DATE(YEAR(TODAY()),MONTH(TODAY()),1),Candidates!$P$2:$P$201,"Yes")</f>
        <v>1</v>
      </c>
      <c r="L58" s="7"/>
    </row>
    <row r="59" customFormat="false" ht="15" hidden="false" customHeight="false" outlineLevel="0" collapsed="false">
      <c r="A59" s="84" t="s">
        <v>181</v>
      </c>
      <c r="B59" s="84" t="n">
        <f aca="false">COUNTIF(Candidates!$M$2:$M$201,"Screened")</f>
        <v>4</v>
      </c>
      <c r="C59" s="7"/>
      <c r="D59" s="84" t="s">
        <v>182</v>
      </c>
      <c r="E59" s="84" t="n">
        <f aca="false">COUNTIF(Candidates!$N$2:$N$201,"Potential Future Fit")</f>
        <v>14</v>
      </c>
      <c r="F59" s="7"/>
      <c r="G59" s="84" t="s">
        <v>183</v>
      </c>
      <c r="H59" s="84" t="n">
        <f aca="false">COUNTIF(Candidates!$F$2:$F$201,"Analytics")</f>
        <v>5</v>
      </c>
      <c r="I59" s="7"/>
      <c r="J59" s="84" t="str">
        <f aca="true">TEXT(EDATE(DATE(YEAR(TODAY()),MONTH(TODAY()),1),0),"mmm yy")</f>
        <v>Oct 26</v>
      </c>
      <c r="K59" s="84" t="n">
        <f aca="true">COUNTIFS(Candidates!$R$2:$R$201,"&gt;="&amp;EDATE(DATE(YEAR(TODAY()),MONTH(TODAY()),1),0),Candidates!$R$2:$R$201,"&lt;"&amp;EDATE(EDATE(DATE(YEAR(TODAY()),MONTH(TODAY()),1),0),1),Candidates!$P$2:$P$201,"Yes")</f>
        <v>12</v>
      </c>
      <c r="L59" s="7"/>
    </row>
    <row r="60" customFormat="false" ht="15" hidden="false" customHeight="false" outlineLevel="0" collapsed="false">
      <c r="A60" s="84" t="s">
        <v>184</v>
      </c>
      <c r="B60" s="84" t="n">
        <f aca="false">COUNTIF(Candidates!$M$2:$M$201,"Interviewed")</f>
        <v>4</v>
      </c>
      <c r="C60" s="7"/>
      <c r="D60" s="84" t="s">
        <v>185</v>
      </c>
      <c r="E60" s="84" t="n">
        <f aca="false">COUNTIF(Candidates!$N$2:$N$201,"Not Currently Relevant")</f>
        <v>16</v>
      </c>
      <c r="F60" s="7"/>
      <c r="G60" s="84" t="s">
        <v>186</v>
      </c>
      <c r="H60" s="84" t="n">
        <f aca="false">COUNTIF(Candidates!$F$2:$F$201,"Human Resources")</f>
        <v>4</v>
      </c>
      <c r="I60" s="7"/>
      <c r="J60" s="84" t="str">
        <f aca="true">TEXT(EDATE(DATE(YEAR(TODAY()),MONTH(TODAY()),1),1),"mmm yy")</f>
        <v>Nov 26</v>
      </c>
      <c r="K60" s="84" t="n">
        <f aca="true">COUNTIFS(Candidates!$R$2:$R$201,"&gt;="&amp;EDATE(DATE(YEAR(TODAY()),MONTH(TODAY()),1),1),Candidates!$R$2:$R$201,"&lt;"&amp;EDATE(EDATE(DATE(YEAR(TODAY()),MONTH(TODAY()),1),1),1),Candidates!$P$2:$P$201,"Yes")</f>
        <v>0</v>
      </c>
      <c r="L60" s="7"/>
    </row>
    <row r="61" customFormat="false" ht="15" hidden="false" customHeight="false" outlineLevel="0" collapsed="false">
      <c r="A61" s="84" t="s">
        <v>187</v>
      </c>
      <c r="B61" s="84" t="n">
        <f aca="false">COUNTIF(Candidates!$M$2:$M$201,"Offered")</f>
        <v>0</v>
      </c>
      <c r="C61" s="7"/>
      <c r="D61" s="84" t="s">
        <v>188</v>
      </c>
      <c r="E61" s="84" t="n">
        <f aca="false">COUNTIF(Candidates!$N$2:$N$201,"Do Not Contact")</f>
        <v>2</v>
      </c>
      <c r="F61" s="7"/>
      <c r="G61" s="84" t="s">
        <v>189</v>
      </c>
      <c r="H61" s="84" t="n">
        <f aca="false">COUNTIF(Candidates!$F$2:$F$201,"Finance")</f>
        <v>7</v>
      </c>
      <c r="I61" s="7"/>
      <c r="J61" s="84" t="str">
        <f aca="true">TEXT(EDATE(DATE(YEAR(TODAY()),MONTH(TODAY()),1),2),"mmm yy")</f>
        <v>Dec 26</v>
      </c>
      <c r="K61" s="84" t="n">
        <f aca="true">COUNTIFS(Candidates!$R$2:$R$201,"&gt;="&amp;EDATE(DATE(YEAR(TODAY()),MONTH(TODAY()),1),2),Candidates!$R$2:$R$201,"&lt;"&amp;EDATE(EDATE(DATE(YEAR(TODAY()),MONTH(TODAY()),1),2),1),Candidates!$P$2:$P$201,"Yes")</f>
        <v>8</v>
      </c>
      <c r="L61" s="7"/>
    </row>
    <row r="62" customFormat="false" ht="15" hidden="false" customHeight="false" outlineLevel="0" collapsed="false">
      <c r="A62" s="84" t="s">
        <v>190</v>
      </c>
      <c r="B62" s="84" t="n">
        <f aca="false">COUNTIF(Candidates!$M$2:$M$201,"Hired")</f>
        <v>5</v>
      </c>
      <c r="C62" s="7"/>
      <c r="D62" s="7"/>
      <c r="E62" s="7"/>
      <c r="F62" s="7"/>
      <c r="G62" s="84" t="s">
        <v>191</v>
      </c>
      <c r="H62" s="84" t="n">
        <f aca="false">COUNTIF(Candidates!$F$2:$F$201,"Sales")</f>
        <v>3</v>
      </c>
      <c r="I62" s="7"/>
      <c r="J62" s="84" t="str">
        <f aca="true">TEXT(EDATE(DATE(YEAR(TODAY()),MONTH(TODAY()),1),3),"mmm yy")</f>
        <v>Jan 27</v>
      </c>
      <c r="K62" s="84" t="n">
        <f aca="true">COUNTIFS(Candidates!$R$2:$R$201,"&gt;="&amp;EDATE(DATE(YEAR(TODAY()),MONTH(TODAY()),1),3),Candidates!$R$2:$R$201,"&lt;"&amp;EDATE(EDATE(DATE(YEAR(TODAY()),MONTH(TODAY()),1),3),1),Candidates!$P$2:$P$201,"Yes")</f>
        <v>0</v>
      </c>
      <c r="L62" s="7"/>
    </row>
    <row r="63" customFormat="false" ht="15" hidden="false" customHeight="false" outlineLevel="0" collapsed="false">
      <c r="A63" s="84" t="s">
        <v>192</v>
      </c>
      <c r="B63" s="84" t="n">
        <f aca="false">COUNTIF(Candidates!$M$2:$M$201,"Not Selected")</f>
        <v>22</v>
      </c>
      <c r="C63" s="7"/>
      <c r="D63" s="7"/>
      <c r="E63" s="7"/>
      <c r="F63" s="7"/>
      <c r="G63" s="84" t="s">
        <v>193</v>
      </c>
      <c r="H63" s="84" t="n">
        <f aca="false">COUNTIF(Candidates!$F$2:$F$201,"Marketing")</f>
        <v>7</v>
      </c>
      <c r="I63" s="7"/>
      <c r="J63" s="84" t="str">
        <f aca="true">TEXT(EDATE(DATE(YEAR(TODAY()),MONTH(TODAY()),1),4),"mmm yy")</f>
        <v>Feb 27</v>
      </c>
      <c r="K63" s="84" t="n">
        <f aca="true">COUNTIFS(Candidates!$R$2:$R$201,"&gt;="&amp;EDATE(DATE(YEAR(TODAY()),MONTH(TODAY()),1),4),Candidates!$R$2:$R$201,"&lt;"&amp;EDATE(EDATE(DATE(YEAR(TODAY()),MONTH(TODAY()),1),4),1),Candidates!$P$2:$P$201,"Yes")</f>
        <v>0</v>
      </c>
      <c r="L63" s="7"/>
    </row>
    <row r="64" customFormat="false" ht="15" hidden="false" customHeight="false" outlineLevel="0" collapsed="false">
      <c r="A64" s="84" t="s">
        <v>194</v>
      </c>
      <c r="B64" s="84" t="n">
        <f aca="false">COUNTIF(Candidates!$M$2:$M$201,"Withdrawn")</f>
        <v>5</v>
      </c>
      <c r="C64" s="7"/>
      <c r="D64" s="7"/>
      <c r="E64" s="7"/>
      <c r="F64" s="7"/>
      <c r="G64" s="84" t="s">
        <v>195</v>
      </c>
      <c r="H64" s="84" t="n">
        <f aca="false">COUNTIF(Candidates!$F$2:$F$201,"Engineering")</f>
        <v>8</v>
      </c>
      <c r="I64" s="7"/>
      <c r="J64" s="84" t="str">
        <f aca="true">TEXT(EDATE(DATE(YEAR(TODAY()),MONTH(TODAY()),1),5),"mmm yy")</f>
        <v>Mar 27</v>
      </c>
      <c r="K64" s="84" t="n">
        <f aca="true">COUNTIFS(Candidates!$R$2:$R$201,"&gt;="&amp;EDATE(DATE(YEAR(TODAY()),MONTH(TODAY()),1),5),Candidates!$R$2:$R$201,"&lt;"&amp;EDATE(EDATE(DATE(YEAR(TODAY()),MONTH(TODAY()),1),5),1),Candidates!$P$2:$P$201,"Yes")</f>
        <v>0</v>
      </c>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sheetData>
  <mergeCells count="41">
    <mergeCell ref="A1:L1"/>
    <mergeCell ref="A2:L2"/>
    <mergeCell ref="A4:C4"/>
    <mergeCell ref="D4:F4"/>
    <mergeCell ref="G4:I4"/>
    <mergeCell ref="J4:L4"/>
    <mergeCell ref="A5:C6"/>
    <mergeCell ref="D5:F6"/>
    <mergeCell ref="G5:I6"/>
    <mergeCell ref="J5:L6"/>
    <mergeCell ref="A7:C7"/>
    <mergeCell ref="D7:F7"/>
    <mergeCell ref="G7:I7"/>
    <mergeCell ref="J7:L7"/>
    <mergeCell ref="A10:C10"/>
    <mergeCell ref="G10:H10"/>
    <mergeCell ref="I10:J10"/>
    <mergeCell ref="A11:C11"/>
    <mergeCell ref="G11:H11"/>
    <mergeCell ref="I11:J11"/>
    <mergeCell ref="A12:C12"/>
    <mergeCell ref="G12:H12"/>
    <mergeCell ref="I12:J12"/>
    <mergeCell ref="A13:C13"/>
    <mergeCell ref="G13:H13"/>
    <mergeCell ref="I13:J13"/>
    <mergeCell ref="A14:C14"/>
    <mergeCell ref="G14:H14"/>
    <mergeCell ref="I14:J14"/>
    <mergeCell ref="A15:C15"/>
    <mergeCell ref="G15:H15"/>
    <mergeCell ref="I15:J15"/>
    <mergeCell ref="A16:C16"/>
    <mergeCell ref="G16:H16"/>
    <mergeCell ref="I16:J16"/>
    <mergeCell ref="A17:C17"/>
    <mergeCell ref="G17:H17"/>
    <mergeCell ref="I17:J17"/>
    <mergeCell ref="A18:C18"/>
    <mergeCell ref="G18:H18"/>
    <mergeCell ref="I18:J18"/>
  </mergeCells>
  <conditionalFormatting sqref="K11:K18">
    <cfRule type="cellIs" priority="2" operator="equal" aboveAverage="0" equalAverage="0" bottom="0" percent="0" rank="0" text="" dxfId="0">
      <formula>"Today"</formula>
    </cfRule>
    <cfRule type="cellIs" priority="3" operator="equal" aboveAverage="0" equalAverage="0" bottom="0" percent="0" rank="0" text="" dxfId="1">
      <formula>"Tomorrow"</formula>
    </cfRule>
  </conditionalFormatting>
  <conditionalFormatting sqref="L11:L18">
    <cfRule type="cellIs" priority="4" operator="equal" aboveAverage="0" equalAverage="0" bottom="0" percent="0" rank="0" text="" dxfId="2">
      <formula>"Strong"</formula>
    </cfRule>
  </conditionalFormatting>
  <conditionalFormatting sqref="F11:F18">
    <cfRule type="expression" priority="5" aboveAverage="0" equalAverage="0" bottom="0" percent="0" rank="0" text="" dxfId="3">
      <formula>AND(ISNUMBER($F11),$F11&gt;=30)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6"/>
    <col collapsed="false" customWidth="true" hidden="false" outlineLevel="0" max="3" min="3" style="0" width="58"/>
  </cols>
  <sheetData>
    <row r="1" customFormat="false" ht="42" hidden="false" customHeight="true" outlineLevel="0" collapsed="false">
      <c r="A1" s="85" t="s">
        <v>196</v>
      </c>
      <c r="B1" s="1"/>
      <c r="C1" s="1"/>
    </row>
    <row r="2" customFormat="false" ht="24" hidden="false" customHeight="true" outlineLevel="0" collapsed="false">
      <c r="A2" s="86" t="s">
        <v>197</v>
      </c>
      <c r="B2" s="1"/>
      <c r="C2" s="1"/>
    </row>
    <row r="3" customFormat="false" ht="4.5" hidden="false" customHeight="true" outlineLevel="0" collapsed="false">
      <c r="A3" s="6"/>
      <c r="B3" s="6"/>
      <c r="C3" s="6"/>
    </row>
    <row r="4" customFormat="false" ht="25.5" hidden="false" customHeight="true" outlineLevel="0" collapsed="false">
      <c r="A4" s="41" t="s">
        <v>198</v>
      </c>
      <c r="B4" s="87"/>
      <c r="C4" s="87"/>
    </row>
    <row r="5" customFormat="false" ht="19.5" hidden="false" customHeight="true" outlineLevel="0" collapsed="false">
      <c r="A5" s="88" t="s">
        <v>199</v>
      </c>
      <c r="B5" s="89"/>
      <c r="C5" s="90" t="s">
        <v>200</v>
      </c>
    </row>
    <row r="6" customFormat="false" ht="19.5" hidden="false" customHeight="true" outlineLevel="0" collapsed="false">
      <c r="A6" s="88" t="s">
        <v>201</v>
      </c>
      <c r="B6" s="89"/>
      <c r="C6" s="90" t="s">
        <v>202</v>
      </c>
    </row>
    <row r="7" customFormat="false" ht="19.5" hidden="false" customHeight="true" outlineLevel="0" collapsed="false">
      <c r="A7" s="88" t="s">
        <v>203</v>
      </c>
      <c r="B7" s="89"/>
      <c r="C7" s="90" t="s">
        <v>204</v>
      </c>
    </row>
    <row r="8" customFormat="false" ht="19.5" hidden="false" customHeight="true" outlineLevel="0" collapsed="false">
      <c r="A8" s="88" t="s">
        <v>205</v>
      </c>
      <c r="B8" s="91" t="str">
        <f aca="false">IFERROR(INDEX(Positions!$B$2:$B$51,MATCH(B7,Positions!$C$2:$C$51,0)),"")</f>
        <v/>
      </c>
      <c r="C8" s="90" t="s">
        <v>206</v>
      </c>
    </row>
    <row r="10" customFormat="false" ht="25.5" hidden="false" customHeight="true" outlineLevel="0" collapsed="false">
      <c r="A10" s="41" t="s">
        <v>207</v>
      </c>
      <c r="B10" s="87"/>
      <c r="C10" s="87"/>
    </row>
    <row r="11" customFormat="false" ht="19.5" hidden="false" customHeight="true" outlineLevel="0" collapsed="false">
      <c r="A11" s="88" t="s">
        <v>208</v>
      </c>
      <c r="B11" s="89"/>
      <c r="C11" s="90" t="s">
        <v>209</v>
      </c>
    </row>
    <row r="12" customFormat="false" ht="19.5" hidden="false" customHeight="true" outlineLevel="0" collapsed="false">
      <c r="A12" s="88" t="s">
        <v>210</v>
      </c>
      <c r="B12" s="89"/>
      <c r="C12" s="90" t="s">
        <v>211</v>
      </c>
    </row>
    <row r="13" customFormat="false" ht="19.5" hidden="false" customHeight="true" outlineLevel="0" collapsed="false">
      <c r="A13" s="88" t="s">
        <v>212</v>
      </c>
      <c r="B13" s="89"/>
      <c r="C13" s="90" t="s">
        <v>211</v>
      </c>
    </row>
    <row r="14" customFormat="false" ht="19.5" hidden="false" customHeight="true" outlineLevel="0" collapsed="false">
      <c r="A14" s="88" t="s">
        <v>213</v>
      </c>
      <c r="B14" s="89"/>
      <c r="C14" s="90" t="s">
        <v>211</v>
      </c>
    </row>
    <row r="15" customFormat="false" ht="19.5" hidden="false" customHeight="true" outlineLevel="0" collapsed="false">
      <c r="A15" s="88" t="s">
        <v>214</v>
      </c>
      <c r="B15" s="89"/>
      <c r="C15" s="90" t="s">
        <v>211</v>
      </c>
    </row>
    <row r="16" customFormat="false" ht="19.5" hidden="false" customHeight="true" outlineLevel="0" collapsed="false">
      <c r="A16" s="88" t="s">
        <v>215</v>
      </c>
      <c r="B16" s="89"/>
      <c r="C16" s="90" t="s">
        <v>216</v>
      </c>
    </row>
    <row r="17" customFormat="false" ht="19.5" hidden="false" customHeight="true" outlineLevel="0" collapsed="false">
      <c r="A17" s="88" t="s">
        <v>217</v>
      </c>
      <c r="B17" s="92"/>
      <c r="C17" s="90" t="s">
        <v>218</v>
      </c>
    </row>
    <row r="18" customFormat="false" ht="19.5" hidden="false" customHeight="true" outlineLevel="0" collapsed="false">
      <c r="A18" s="88" t="s">
        <v>166</v>
      </c>
      <c r="B18" s="89"/>
      <c r="C18" s="90" t="s">
        <v>204</v>
      </c>
    </row>
    <row r="19" customFormat="false" ht="19.5" hidden="false" customHeight="true" outlineLevel="0" collapsed="false">
      <c r="A19" s="88" t="s">
        <v>219</v>
      </c>
      <c r="B19" s="89"/>
      <c r="C19" s="90" t="s">
        <v>220</v>
      </c>
    </row>
    <row r="21" customFormat="false" ht="25.5" hidden="false" customHeight="true" outlineLevel="0" collapsed="false">
      <c r="A21" s="41" t="s">
        <v>221</v>
      </c>
      <c r="B21" s="87"/>
      <c r="C21" s="87"/>
    </row>
    <row r="22" customFormat="false" ht="19.5" hidden="false" customHeight="true" outlineLevel="0" collapsed="false">
      <c r="A22" s="88" t="s">
        <v>222</v>
      </c>
      <c r="B22" s="89"/>
      <c r="C22" s="90" t="s">
        <v>223</v>
      </c>
    </row>
    <row r="23" customFormat="false" ht="19.5" hidden="false" customHeight="true" outlineLevel="0" collapsed="false">
      <c r="A23" s="88" t="s">
        <v>224</v>
      </c>
      <c r="B23" s="89"/>
      <c r="C23" s="90" t="s">
        <v>225</v>
      </c>
    </row>
    <row r="24" customFormat="false" ht="19.5" hidden="false" customHeight="true" outlineLevel="0" collapsed="false">
      <c r="A24" s="88" t="s">
        <v>174</v>
      </c>
      <c r="B24" s="89"/>
      <c r="C24" s="90" t="s">
        <v>226</v>
      </c>
    </row>
    <row r="25" customFormat="false" ht="19.5" hidden="false" customHeight="true" outlineLevel="0" collapsed="false">
      <c r="A25" s="88" t="s">
        <v>227</v>
      </c>
      <c r="B25" s="89"/>
      <c r="C25" s="90" t="s">
        <v>228</v>
      </c>
    </row>
    <row r="27" customFormat="false" ht="25.5" hidden="false" customHeight="true" outlineLevel="0" collapsed="false">
      <c r="A27" s="41" t="s">
        <v>229</v>
      </c>
      <c r="B27" s="87"/>
      <c r="C27" s="87"/>
    </row>
    <row r="28" customFormat="false" ht="19.5" hidden="false" customHeight="true" outlineLevel="0" collapsed="false">
      <c r="A28" s="88" t="s">
        <v>230</v>
      </c>
      <c r="B28" s="89"/>
      <c r="C28" s="90" t="s">
        <v>231</v>
      </c>
    </row>
    <row r="29" customFormat="false" ht="19.5" hidden="false" customHeight="true" outlineLevel="0" collapsed="false">
      <c r="A29" s="88" t="s">
        <v>232</v>
      </c>
      <c r="B29" s="89"/>
      <c r="C29" s="90" t="s">
        <v>233</v>
      </c>
    </row>
    <row r="30" customFormat="false" ht="19.5" hidden="false" customHeight="true" outlineLevel="0" collapsed="false">
      <c r="A30" s="88" t="s">
        <v>234</v>
      </c>
      <c r="B30" s="93"/>
      <c r="C30" s="90" t="s">
        <v>235</v>
      </c>
    </row>
    <row r="32" customFormat="false" ht="15" hidden="false" customHeight="false" outlineLevel="0" collapsed="false">
      <c r="A32" s="94" t="s">
        <v>236</v>
      </c>
    </row>
    <row r="33" customFormat="false" ht="15" hidden="false" customHeight="false" outlineLevel="0" collapsed="false">
      <c r="A33" s="94" t="s">
        <v>237</v>
      </c>
    </row>
  </sheetData>
  <dataValidations count="7">
    <dataValidation allowBlank="true" errorStyle="stop" operator="between" showDropDown="false" showErrorMessage="true" showInputMessage="false" sqref="B7" type="list">
      <formula1>Positions!$C$2:$C$51</formula1>
      <formula2>0</formula2>
    </dataValidation>
    <dataValidation allowBlank="true" errorStyle="stop" operator="between" showDropDown="false" showErrorMessage="true" showInputMessage="false" sqref="B11:B15" type="list">
      <formula1>Lists!$G$2:$G$57</formula1>
      <formula2>0</formula2>
    </dataValidation>
    <dataValidation allowBlank="true" errorStyle="stop" operator="between" showDropDown="false" showErrorMessage="true" showInputMessage="false" sqref="B18" type="list">
      <formula1>Lists!$F$2:$F$7</formula1>
      <formula2>0</formula2>
    </dataValidation>
    <dataValidation allowBlank="true" errorStyle="stop" operator="between" showDropDown="false" showErrorMessage="true" showInputMessage="false" sqref="B22" type="list">
      <formula1>Lists!$D$2:$D$6</formula1>
      <formula2>0</formula2>
    </dataValidation>
    <dataValidation allowBlank="true" errorStyle="stop" operator="between" showDropDown="false" showErrorMessage="true" showInputMessage="false" sqref="B23" type="list">
      <formula1>Lists!$B$2:$B$8</formula1>
      <formula2>0</formula2>
    </dataValidation>
    <dataValidation allowBlank="true" errorStyle="stop" operator="between" showDropDown="false" showErrorMessage="true" showInputMessage="false" sqref="B24" type="list">
      <formula1>Lists!$C$2:$C$5</formula1>
      <formula2>0</formula2>
    </dataValidation>
    <dataValidation allowBlank="true" errorStyle="stop" operator="between" showDropDown="false" showErrorMessage="true" showInputMessage="false" sqref="B28:B29" type="list">
      <formula1>Lists!$E$2:$E$3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6B7F"/>
    <pageSetUpPr fitToPage="false"/>
  </sheetPr>
  <dimension ref="A1:Y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0"/>
    <col collapsed="false" customWidth="true" hidden="false" outlineLevel="0" max="4" min="4" style="0" width="28"/>
    <col collapsed="false" customWidth="true" hidden="false" outlineLevel="0" max="5" min="5" style="0" width="24"/>
    <col collapsed="false" customWidth="true" hidden="false" outlineLevel="0" max="6" min="6" style="0" width="14"/>
    <col collapsed="false" customWidth="true" hidden="false" outlineLevel="0" max="7" min="7" style="0" width="46"/>
    <col collapsed="false" customWidth="true" hidden="false" outlineLevel="0" max="8" min="8" style="0" width="12"/>
    <col collapsed="false" customWidth="true" hidden="false" outlineLevel="0" max="9" min="9" style="0" width="14"/>
    <col collapsed="false" customWidth="true" hidden="false" outlineLevel="0" max="11" min="10" style="0" width="12"/>
    <col collapsed="false" customWidth="true" hidden="false" outlineLevel="0" max="13" min="12" style="0" width="16"/>
    <col collapsed="false" customWidth="true" hidden="false" outlineLevel="0" max="14" min="14" style="0" width="22"/>
    <col collapsed="false" customWidth="true" hidden="false" outlineLevel="0" max="15" min="15" style="0" width="34"/>
    <col collapsed="false" customWidth="true" hidden="false" outlineLevel="0" max="17" min="16" style="0" width="14"/>
    <col collapsed="false" customWidth="true" hidden="false" outlineLevel="0" max="19" min="18" style="0" width="15"/>
    <col collapsed="false" customWidth="true" hidden="false" outlineLevel="0" max="20" min="20" style="0" width="20"/>
    <col collapsed="false" customWidth="true" hidden="true" outlineLevel="0" max="25" min="21" style="0" width="8"/>
  </cols>
  <sheetData>
    <row r="1" customFormat="false" ht="43.5" hidden="false" customHeight="true" outlineLevel="0" collapsed="false">
      <c r="A1" s="95" t="s">
        <v>238</v>
      </c>
      <c r="B1" s="95" t="s">
        <v>239</v>
      </c>
      <c r="C1" s="95" t="s">
        <v>199</v>
      </c>
      <c r="D1" s="95" t="s">
        <v>201</v>
      </c>
      <c r="E1" s="95" t="s">
        <v>240</v>
      </c>
      <c r="F1" s="95" t="s">
        <v>175</v>
      </c>
      <c r="G1" s="95" t="s">
        <v>241</v>
      </c>
      <c r="H1" s="95" t="s">
        <v>242</v>
      </c>
      <c r="I1" s="95" t="s">
        <v>243</v>
      </c>
      <c r="J1" s="95" t="s">
        <v>166</v>
      </c>
      <c r="K1" s="95" t="s">
        <v>244</v>
      </c>
      <c r="L1" s="95" t="s">
        <v>222</v>
      </c>
      <c r="M1" s="95" t="s">
        <v>245</v>
      </c>
      <c r="N1" s="95" t="s">
        <v>246</v>
      </c>
      <c r="O1" s="95" t="s">
        <v>247</v>
      </c>
      <c r="P1" s="95" t="s">
        <v>248</v>
      </c>
      <c r="Q1" s="95" t="s">
        <v>249</v>
      </c>
      <c r="R1" s="95" t="s">
        <v>250</v>
      </c>
      <c r="S1" s="95" t="s">
        <v>251</v>
      </c>
      <c r="T1" s="95" t="s">
        <v>252</v>
      </c>
      <c r="U1" s="95" t="s">
        <v>253</v>
      </c>
      <c r="V1" s="95" t="s">
        <v>254</v>
      </c>
      <c r="W1" s="95" t="s">
        <v>255</v>
      </c>
      <c r="X1" s="95" t="s">
        <v>256</v>
      </c>
      <c r="Y1" s="95" t="s">
        <v>257</v>
      </c>
    </row>
    <row r="2" customFormat="false" ht="15" hidden="false" customHeight="false" outlineLevel="0" collapsed="false">
      <c r="A2" s="96" t="s">
        <v>258</v>
      </c>
      <c r="B2" s="97" t="n">
        <v>46086</v>
      </c>
      <c r="C2" s="96" t="s">
        <v>259</v>
      </c>
      <c r="D2" s="96" t="s">
        <v>260</v>
      </c>
      <c r="E2" s="96" t="s">
        <v>261</v>
      </c>
      <c r="F2" s="96" t="s">
        <v>193</v>
      </c>
      <c r="G2" s="96" t="s">
        <v>262</v>
      </c>
      <c r="H2" s="96" t="n">
        <v>2</v>
      </c>
      <c r="I2" s="98" t="n">
        <v>110000</v>
      </c>
      <c r="J2" s="96" t="s">
        <v>263</v>
      </c>
      <c r="K2" s="96" t="n">
        <v>14</v>
      </c>
      <c r="L2" s="96" t="s">
        <v>264</v>
      </c>
      <c r="M2" s="96" t="s">
        <v>194</v>
      </c>
      <c r="N2" s="96" t="s">
        <v>182</v>
      </c>
      <c r="O2" s="96" t="s">
        <v>265</v>
      </c>
      <c r="P2" s="96" t="s">
        <v>266</v>
      </c>
      <c r="Q2" s="96" t="s">
        <v>267</v>
      </c>
      <c r="R2" s="97" t="n">
        <v>46361</v>
      </c>
      <c r="S2" s="97" t="n">
        <v>46293</v>
      </c>
      <c r="T2" s="96" t="s">
        <v>268</v>
      </c>
      <c r="U2" s="99" t="n">
        <f aca="true">IF(A2="","",IF(AND(R2&lt;&gt;"",R2&lt;=TODAY()+30,P2="Yes",Q2="Yes",N2&lt;&gt;"Do Not Contact"),1,0))</f>
        <v>0</v>
      </c>
      <c r="V2" s="0" t="str">
        <f aca="false">IF(U2=1,COUNTIF($U$2:U2,1),"")</f>
        <v/>
      </c>
      <c r="W2" s="0" t="str">
        <f aca="false">IF(A2="","",A2&amp;" | "&amp;C2)</f>
        <v>CAN-2026-00001 | Jason Martinez</v>
      </c>
      <c r="X2" s="99" t="n">
        <f aca="true">IF(A2="","",IF(AND(R2&lt;&gt;"",P2="Yes",Q2="Yes",N2&lt;&gt;"Do Not Contact"),IF(INT(R2)=TODAY(),1,IF(INT(R2)=TODAY()+1,2,0)),0))</f>
        <v>0</v>
      </c>
      <c r="Y2" s="0" t="str">
        <f aca="false">IF(OR(X2=1,X2=2),COUNTIF($X$2:X2,1)+COUNTIF($X$2:X2,2),"")</f>
        <v/>
      </c>
    </row>
    <row r="3" customFormat="false" ht="15" hidden="false" customHeight="false" outlineLevel="0" collapsed="false">
      <c r="A3" s="96" t="s">
        <v>269</v>
      </c>
      <c r="B3" s="97" t="n">
        <v>46086</v>
      </c>
      <c r="C3" s="96" t="s">
        <v>270</v>
      </c>
      <c r="D3" s="96" t="s">
        <v>271</v>
      </c>
      <c r="E3" s="96" t="s">
        <v>272</v>
      </c>
      <c r="F3" s="96" t="s">
        <v>189</v>
      </c>
      <c r="G3" s="96" t="s">
        <v>273</v>
      </c>
      <c r="H3" s="96" t="n">
        <v>9</v>
      </c>
      <c r="I3" s="98" t="n">
        <v>69000</v>
      </c>
      <c r="J3" s="96" t="s">
        <v>274</v>
      </c>
      <c r="K3" s="96" t="n">
        <v>60</v>
      </c>
      <c r="L3" s="96" t="s">
        <v>275</v>
      </c>
      <c r="M3" s="96" t="s">
        <v>192</v>
      </c>
      <c r="N3" s="96" t="s">
        <v>185</v>
      </c>
      <c r="O3" s="96" t="s">
        <v>276</v>
      </c>
      <c r="P3" s="96" t="s">
        <v>266</v>
      </c>
      <c r="Q3" s="96" t="s">
        <v>267</v>
      </c>
      <c r="R3" s="97"/>
      <c r="S3" s="97"/>
      <c r="T3" s="96"/>
      <c r="U3" s="99" t="n">
        <f aca="true">IF(A3="","",IF(AND(R3&lt;&gt;"",R3&lt;=TODAY()+30,P3="Yes",Q3="Yes",N3&lt;&gt;"Do Not Contact"),1,0))</f>
        <v>0</v>
      </c>
      <c r="V3" s="0" t="str">
        <f aca="false">IF(U3=1,COUNTIF($U$2:U3,1),"")</f>
        <v/>
      </c>
      <c r="W3" s="0" t="str">
        <f aca="false">IF(A3="","",A3&amp;" | "&amp;C3)</f>
        <v>CAN-2026-00002 | Daniel Jackson</v>
      </c>
      <c r="X3" s="99" t="n">
        <f aca="true">IF(A3="","",IF(AND(R3&lt;&gt;"",P3="Yes",Q3="Yes",N3&lt;&gt;"Do Not Contact"),IF(INT(R3)=TODAY(),1,IF(INT(R3)=TODAY()+1,2,0)),0))</f>
        <v>0</v>
      </c>
      <c r="Y3" s="0" t="str">
        <f aca="false">IF(OR(X3=1,X3=2),COUNTIF($X$2:X3,1)+COUNTIF($X$2:X3,2),"")</f>
        <v/>
      </c>
    </row>
    <row r="4" customFormat="false" ht="15" hidden="false" customHeight="false" outlineLevel="0" collapsed="false">
      <c r="A4" s="96" t="s">
        <v>277</v>
      </c>
      <c r="B4" s="97" t="n">
        <v>46093</v>
      </c>
      <c r="C4" s="96" t="s">
        <v>278</v>
      </c>
      <c r="D4" s="96" t="s">
        <v>279</v>
      </c>
      <c r="E4" s="96" t="s">
        <v>272</v>
      </c>
      <c r="F4" s="96" t="s">
        <v>189</v>
      </c>
      <c r="G4" s="96" t="s">
        <v>280</v>
      </c>
      <c r="H4" s="96" t="n">
        <v>10</v>
      </c>
      <c r="I4" s="98" t="n">
        <v>72000</v>
      </c>
      <c r="J4" s="96" t="s">
        <v>274</v>
      </c>
      <c r="K4" s="96" t="n">
        <v>14</v>
      </c>
      <c r="L4" s="96" t="s">
        <v>281</v>
      </c>
      <c r="M4" s="96" t="s">
        <v>190</v>
      </c>
      <c r="N4" s="96" t="s">
        <v>185</v>
      </c>
      <c r="O4" s="96" t="s">
        <v>282</v>
      </c>
      <c r="P4" s="96" t="s">
        <v>266</v>
      </c>
      <c r="Q4" s="96" t="s">
        <v>266</v>
      </c>
      <c r="R4" s="97"/>
      <c r="S4" s="97"/>
      <c r="T4" s="96"/>
      <c r="U4" s="99" t="n">
        <f aca="true">IF(A4="","",IF(AND(R4&lt;&gt;"",R4&lt;=TODAY()+30,P4="Yes",Q4="Yes",N4&lt;&gt;"Do Not Contact"),1,0))</f>
        <v>0</v>
      </c>
      <c r="V4" s="0" t="str">
        <f aca="false">IF(U4=1,COUNTIF($U$2:U4,1),"")</f>
        <v/>
      </c>
      <c r="W4" s="0" t="str">
        <f aca="false">IF(A4="","",A4&amp;" | "&amp;C4)</f>
        <v>CAN-2026-00003 | Amanda Anderson</v>
      </c>
      <c r="X4" s="99" t="n">
        <f aca="true">IF(A4="","",IF(AND(R4&lt;&gt;"",P4="Yes",Q4="Yes",N4&lt;&gt;"Do Not Contact"),IF(INT(R4)=TODAY(),1,IF(INT(R4)=TODAY()+1,2,0)),0))</f>
        <v>0</v>
      </c>
      <c r="Y4" s="0" t="str">
        <f aca="false">IF(OR(X4=1,X4=2),COUNTIF($X$2:X4,1)+COUNTIF($X$2:X4,2),"")</f>
        <v/>
      </c>
    </row>
    <row r="5" customFormat="false" ht="15" hidden="false" customHeight="false" outlineLevel="0" collapsed="false">
      <c r="A5" s="96" t="s">
        <v>283</v>
      </c>
      <c r="B5" s="97" t="n">
        <v>46099</v>
      </c>
      <c r="C5" s="96" t="s">
        <v>284</v>
      </c>
      <c r="D5" s="96" t="s">
        <v>285</v>
      </c>
      <c r="E5" s="96" t="s">
        <v>286</v>
      </c>
      <c r="F5" s="96" t="s">
        <v>195</v>
      </c>
      <c r="G5" s="96" t="s">
        <v>287</v>
      </c>
      <c r="H5" s="96" t="n">
        <v>2</v>
      </c>
      <c r="I5" s="98" t="n">
        <v>106000</v>
      </c>
      <c r="J5" s="96" t="s">
        <v>288</v>
      </c>
      <c r="K5" s="96" t="n">
        <v>14</v>
      </c>
      <c r="L5" s="96" t="s">
        <v>264</v>
      </c>
      <c r="M5" s="96" t="s">
        <v>192</v>
      </c>
      <c r="N5" s="96" t="s">
        <v>178</v>
      </c>
      <c r="O5" s="96" t="s">
        <v>289</v>
      </c>
      <c r="P5" s="96" t="s">
        <v>266</v>
      </c>
      <c r="Q5" s="96" t="s">
        <v>266</v>
      </c>
      <c r="R5" s="97" t="n">
        <v>46387</v>
      </c>
      <c r="S5" s="97" t="n">
        <v>46293</v>
      </c>
      <c r="T5" s="96" t="s">
        <v>268</v>
      </c>
      <c r="U5" s="99" t="n">
        <f aca="true">IF(A5="","",IF(AND(R5&lt;&gt;"",R5&lt;=TODAY()+30,P5="Yes",Q5="Yes",N5&lt;&gt;"Do Not Contact"),1,0))</f>
        <v>0</v>
      </c>
      <c r="V5" s="0" t="str">
        <f aca="false">IF(U5=1,COUNTIF($U$2:U5,1),"")</f>
        <v/>
      </c>
      <c r="W5" s="0" t="str">
        <f aca="false">IF(A5="","",A5&amp;" | "&amp;C5)</f>
        <v>CAN-2026-00004 | Ashley Martinez</v>
      </c>
      <c r="X5" s="99" t="n">
        <f aca="true">IF(A5="","",IF(AND(R5&lt;&gt;"",P5="Yes",Q5="Yes",N5&lt;&gt;"Do Not Contact"),IF(INT(R5)=TODAY(),1,IF(INT(R5)=TODAY()+1,2,0)),0))</f>
        <v>0</v>
      </c>
      <c r="Y5" s="0" t="str">
        <f aca="false">IF(OR(X5=1,X5=2),COUNTIF($X$2:X5,1)+COUNTIF($X$2:X5,2),"")</f>
        <v/>
      </c>
    </row>
    <row r="6" customFormat="false" ht="15" hidden="false" customHeight="false" outlineLevel="0" collapsed="false">
      <c r="A6" s="96" t="s">
        <v>290</v>
      </c>
      <c r="B6" s="97" t="n">
        <v>46103</v>
      </c>
      <c r="C6" s="96" t="s">
        <v>291</v>
      </c>
      <c r="D6" s="96" t="s">
        <v>292</v>
      </c>
      <c r="E6" s="96" t="s">
        <v>272</v>
      </c>
      <c r="F6" s="96" t="s">
        <v>189</v>
      </c>
      <c r="G6" s="96" t="s">
        <v>293</v>
      </c>
      <c r="H6" s="96" t="n">
        <v>2</v>
      </c>
      <c r="I6" s="98" t="n">
        <v>79000</v>
      </c>
      <c r="J6" s="96" t="s">
        <v>294</v>
      </c>
      <c r="K6" s="96" t="n">
        <v>14</v>
      </c>
      <c r="L6" s="96" t="s">
        <v>295</v>
      </c>
      <c r="M6" s="96" t="s">
        <v>192</v>
      </c>
      <c r="N6" s="96" t="s">
        <v>182</v>
      </c>
      <c r="O6" s="96" t="s">
        <v>296</v>
      </c>
      <c r="P6" s="96" t="s">
        <v>266</v>
      </c>
      <c r="Q6" s="96" t="s">
        <v>266</v>
      </c>
      <c r="R6" s="97" t="n">
        <v>46386</v>
      </c>
      <c r="S6" s="97" t="n">
        <v>46285</v>
      </c>
      <c r="T6" s="96" t="s">
        <v>297</v>
      </c>
      <c r="U6" s="99" t="n">
        <f aca="true">IF(A6="","",IF(AND(R6&lt;&gt;"",R6&lt;=TODAY()+30,P6="Yes",Q6="Yes",N6&lt;&gt;"Do Not Contact"),1,0))</f>
        <v>0</v>
      </c>
      <c r="V6" s="0" t="str">
        <f aca="false">IF(U6=1,COUNTIF($U$2:U6,1),"")</f>
        <v/>
      </c>
      <c r="W6" s="0" t="str">
        <f aca="false">IF(A6="","",A6&amp;" | "&amp;C6)</f>
        <v>CAN-2026-00005 | Joshua Martinez</v>
      </c>
      <c r="X6" s="99" t="n">
        <f aca="true">IF(A6="","",IF(AND(R6&lt;&gt;"",P6="Yes",Q6="Yes",N6&lt;&gt;"Do Not Contact"),IF(INT(R6)=TODAY(),1,IF(INT(R6)=TODAY()+1,2,0)),0))</f>
        <v>0</v>
      </c>
      <c r="Y6" s="0" t="str">
        <f aca="false">IF(OR(X6=1,X6=2),COUNTIF($X$2:X6,1)+COUNTIF($X$2:X6,2),"")</f>
        <v/>
      </c>
    </row>
    <row r="7" customFormat="false" ht="15" hidden="false" customHeight="false" outlineLevel="0" collapsed="false">
      <c r="A7" s="96" t="s">
        <v>298</v>
      </c>
      <c r="B7" s="97" t="n">
        <v>46107</v>
      </c>
      <c r="C7" s="96" t="s">
        <v>299</v>
      </c>
      <c r="D7" s="96" t="s">
        <v>300</v>
      </c>
      <c r="E7" s="96" t="s">
        <v>301</v>
      </c>
      <c r="F7" s="96" t="s">
        <v>179</v>
      </c>
      <c r="G7" s="96" t="s">
        <v>302</v>
      </c>
      <c r="H7" s="96" t="n">
        <v>9</v>
      </c>
      <c r="I7" s="98" t="n">
        <v>103000</v>
      </c>
      <c r="J7" s="96" t="s">
        <v>263</v>
      </c>
      <c r="K7" s="96" t="n">
        <v>14</v>
      </c>
      <c r="L7" s="96" t="s">
        <v>295</v>
      </c>
      <c r="M7" s="96" t="s">
        <v>192</v>
      </c>
      <c r="N7" s="96" t="s">
        <v>185</v>
      </c>
      <c r="O7" s="96" t="s">
        <v>289</v>
      </c>
      <c r="P7" s="96" t="s">
        <v>266</v>
      </c>
      <c r="Q7" s="96" t="s">
        <v>267</v>
      </c>
      <c r="R7" s="97"/>
      <c r="S7" s="97"/>
      <c r="T7" s="96"/>
      <c r="U7" s="99" t="n">
        <f aca="true">IF(A7="","",IF(AND(R7&lt;&gt;"",R7&lt;=TODAY()+30,P7="Yes",Q7="Yes",N7&lt;&gt;"Do Not Contact"),1,0))</f>
        <v>0</v>
      </c>
      <c r="V7" s="0" t="str">
        <f aca="false">IF(U7=1,COUNTIF($U$2:U7,1),"")</f>
        <v/>
      </c>
      <c r="W7" s="0" t="str">
        <f aca="false">IF(A7="","",A7&amp;" | "&amp;C7)</f>
        <v>CAN-2026-00006 | Kevin Davis</v>
      </c>
      <c r="X7" s="99" t="n">
        <f aca="true">IF(A7="","",IF(AND(R7&lt;&gt;"",P7="Yes",Q7="Yes",N7&lt;&gt;"Do Not Contact"),IF(INT(R7)=TODAY(),1,IF(INT(R7)=TODAY()+1,2,0)),0))</f>
        <v>0</v>
      </c>
      <c r="Y7" s="0" t="str">
        <f aca="false">IF(OR(X7=1,X7=2),COUNTIF($X$2:X7,1)+COUNTIF($X$2:X7,2),"")</f>
        <v/>
      </c>
    </row>
    <row r="8" customFormat="false" ht="15" hidden="false" customHeight="false" outlineLevel="0" collapsed="false">
      <c r="A8" s="96" t="s">
        <v>303</v>
      </c>
      <c r="B8" s="97" t="n">
        <v>46120</v>
      </c>
      <c r="C8" s="96" t="s">
        <v>304</v>
      </c>
      <c r="D8" s="96" t="s">
        <v>305</v>
      </c>
      <c r="E8" s="96" t="s">
        <v>261</v>
      </c>
      <c r="F8" s="96" t="s">
        <v>193</v>
      </c>
      <c r="G8" s="96" t="s">
        <v>306</v>
      </c>
      <c r="H8" s="96" t="n">
        <v>5</v>
      </c>
      <c r="I8" s="98" t="n">
        <v>96000</v>
      </c>
      <c r="J8" s="96" t="s">
        <v>307</v>
      </c>
      <c r="K8" s="96" t="n">
        <v>14</v>
      </c>
      <c r="L8" s="96" t="s">
        <v>308</v>
      </c>
      <c r="M8" s="96" t="s">
        <v>192</v>
      </c>
      <c r="N8" s="96" t="s">
        <v>178</v>
      </c>
      <c r="O8" s="96" t="s">
        <v>276</v>
      </c>
      <c r="P8" s="96" t="s">
        <v>266</v>
      </c>
      <c r="Q8" s="96" t="s">
        <v>266</v>
      </c>
      <c r="R8" s="97" t="n">
        <v>46311</v>
      </c>
      <c r="S8" s="97" t="n">
        <v>46289</v>
      </c>
      <c r="T8" s="96" t="s">
        <v>268</v>
      </c>
      <c r="U8" s="99" t="n">
        <f aca="true">IF(A8="","",IF(AND(R8&lt;&gt;"",R8&lt;=TODAY()+30,P8="Yes",Q8="Yes",N8&lt;&gt;"Do Not Contact"),1,0))</f>
        <v>1</v>
      </c>
      <c r="V8" s="99" t="n">
        <f aca="false">IF(U8=1,COUNTIF($U$2:U8,1),"")</f>
        <v>1</v>
      </c>
      <c r="W8" s="0" t="str">
        <f aca="false">IF(A8="","",A8&amp;" | "&amp;C8)</f>
        <v>CAN-2026-00007 | Nicole Brown</v>
      </c>
      <c r="X8" s="99" t="n">
        <f aca="true">IF(A8="","",IF(AND(R8&lt;&gt;"",P8="Yes",Q8="Yes",N8&lt;&gt;"Do Not Contact"),IF(INT(R8)=TODAY(),1,IF(INT(R8)=TODAY()+1,2,0)),0))</f>
        <v>0</v>
      </c>
      <c r="Y8" s="0" t="str">
        <f aca="false">IF(OR(X8=1,X8=2),COUNTIF($X$2:X8,1)+COUNTIF($X$2:X8,2),"")</f>
        <v/>
      </c>
    </row>
    <row r="9" customFormat="false" ht="15" hidden="false" customHeight="false" outlineLevel="0" collapsed="false">
      <c r="A9" s="96" t="s">
        <v>309</v>
      </c>
      <c r="B9" s="97" t="n">
        <v>46121</v>
      </c>
      <c r="C9" s="96" t="s">
        <v>310</v>
      </c>
      <c r="D9" s="96" t="s">
        <v>311</v>
      </c>
      <c r="E9" s="96" t="s">
        <v>286</v>
      </c>
      <c r="F9" s="96" t="s">
        <v>195</v>
      </c>
      <c r="G9" s="96" t="s">
        <v>312</v>
      </c>
      <c r="H9" s="96" t="n">
        <v>10</v>
      </c>
      <c r="I9" s="98" t="n">
        <v>86000</v>
      </c>
      <c r="J9" s="96" t="s">
        <v>307</v>
      </c>
      <c r="K9" s="96" t="n">
        <v>60</v>
      </c>
      <c r="L9" s="96" t="s">
        <v>275</v>
      </c>
      <c r="M9" s="96" t="s">
        <v>181</v>
      </c>
      <c r="N9" s="96" t="s">
        <v>182</v>
      </c>
      <c r="O9" s="96" t="s">
        <v>313</v>
      </c>
      <c r="P9" s="96" t="s">
        <v>266</v>
      </c>
      <c r="Q9" s="96" t="s">
        <v>266</v>
      </c>
      <c r="R9" s="97" t="n">
        <f aca="true">TODAY()</f>
        <v>46300</v>
      </c>
      <c r="S9" s="97"/>
      <c r="T9" s="96"/>
      <c r="U9" s="99" t="n">
        <f aca="true">IF(A9="","",IF(AND(R9&lt;&gt;"",R9&lt;=TODAY()+30,P9="Yes",Q9="Yes",N9&lt;&gt;"Do Not Contact"),1,0))</f>
        <v>1</v>
      </c>
      <c r="V9" s="99" t="n">
        <f aca="false">IF(U9=1,COUNTIF($U$2:U9,1),"")</f>
        <v>2</v>
      </c>
      <c r="W9" s="0" t="str">
        <f aca="false">IF(A9="","",A9&amp;" | "&amp;C9)</f>
        <v>CAN-2026-00008 | Jessica Miller</v>
      </c>
      <c r="X9" s="99" t="n">
        <f aca="true">IF(A9="","",IF(AND(R9&lt;&gt;"",P9="Yes",Q9="Yes",N9&lt;&gt;"Do Not Contact"),IF(INT(R9)=TODAY(),1,IF(INT(R9)=TODAY()+1,2,0)),0))</f>
        <v>1</v>
      </c>
      <c r="Y9" s="99" t="n">
        <f aca="false">IF(OR(X9=1,X9=2),COUNTIF($X$2:X9,1)+COUNTIF($X$2:X9,2),"")</f>
        <v>1</v>
      </c>
    </row>
    <row r="10" customFormat="false" ht="15" hidden="false" customHeight="false" outlineLevel="0" collapsed="false">
      <c r="A10" s="96" t="s">
        <v>314</v>
      </c>
      <c r="B10" s="97" t="n">
        <v>46128</v>
      </c>
      <c r="C10" s="96" t="s">
        <v>315</v>
      </c>
      <c r="D10" s="96" t="s">
        <v>316</v>
      </c>
      <c r="E10" s="96" t="s">
        <v>261</v>
      </c>
      <c r="F10" s="96" t="s">
        <v>193</v>
      </c>
      <c r="G10" s="96" t="s">
        <v>317</v>
      </c>
      <c r="H10" s="96" t="n">
        <v>10</v>
      </c>
      <c r="I10" s="98" t="n">
        <v>79000</v>
      </c>
      <c r="J10" s="96" t="s">
        <v>274</v>
      </c>
      <c r="K10" s="96" t="n">
        <v>14</v>
      </c>
      <c r="L10" s="96" t="s">
        <v>275</v>
      </c>
      <c r="M10" s="96" t="s">
        <v>194</v>
      </c>
      <c r="N10" s="96" t="s">
        <v>185</v>
      </c>
      <c r="O10" s="96" t="s">
        <v>265</v>
      </c>
      <c r="P10" s="96" t="s">
        <v>266</v>
      </c>
      <c r="Q10" s="96" t="s">
        <v>266</v>
      </c>
      <c r="R10" s="97"/>
      <c r="S10" s="97"/>
      <c r="T10" s="96"/>
      <c r="U10" s="99" t="n">
        <f aca="true">IF(A10="","",IF(AND(R10&lt;&gt;"",R10&lt;=TODAY()+30,P10="Yes",Q10="Yes",N10&lt;&gt;"Do Not Contact"),1,0))</f>
        <v>0</v>
      </c>
      <c r="V10" s="0" t="str">
        <f aca="false">IF(U10=1,COUNTIF($U$2:U10,1),"")</f>
        <v/>
      </c>
      <c r="W10" s="0" t="str">
        <f aca="false">IF(A10="","",A10&amp;" | "&amp;C10)</f>
        <v>CAN-2026-00009 | Ashley Williams</v>
      </c>
      <c r="X10" s="99" t="n">
        <f aca="true">IF(A10="","",IF(AND(R10&lt;&gt;"",P10="Yes",Q10="Yes",N10&lt;&gt;"Do Not Contact"),IF(INT(R10)=TODAY(),1,IF(INT(R10)=TODAY()+1,2,0)),0))</f>
        <v>0</v>
      </c>
      <c r="Y10" s="0" t="str">
        <f aca="false">IF(OR(X10=1,X10=2),COUNTIF($X$2:X10,1)+COUNTIF($X$2:X10,2),"")</f>
        <v/>
      </c>
    </row>
    <row r="11" customFormat="false" ht="15" hidden="false" customHeight="false" outlineLevel="0" collapsed="false">
      <c r="A11" s="96" t="s">
        <v>318</v>
      </c>
      <c r="B11" s="97" t="n">
        <v>46132</v>
      </c>
      <c r="C11" s="96" t="s">
        <v>319</v>
      </c>
      <c r="D11" s="96" t="s">
        <v>320</v>
      </c>
      <c r="E11" s="96" t="s">
        <v>261</v>
      </c>
      <c r="F11" s="96" t="s">
        <v>193</v>
      </c>
      <c r="G11" s="96" t="s">
        <v>321</v>
      </c>
      <c r="H11" s="96" t="n">
        <v>1</v>
      </c>
      <c r="I11" s="98" t="n">
        <v>114000</v>
      </c>
      <c r="J11" s="96" t="s">
        <v>307</v>
      </c>
      <c r="K11" s="96" t="n">
        <v>30</v>
      </c>
      <c r="L11" s="96" t="s">
        <v>308</v>
      </c>
      <c r="M11" s="96" t="s">
        <v>181</v>
      </c>
      <c r="N11" s="96" t="s">
        <v>178</v>
      </c>
      <c r="O11" s="96" t="s">
        <v>313</v>
      </c>
      <c r="P11" s="96" t="s">
        <v>266</v>
      </c>
      <c r="Q11" s="96" t="s">
        <v>266</v>
      </c>
      <c r="R11" s="97" t="n">
        <v>46371</v>
      </c>
      <c r="S11" s="97" t="n">
        <v>46285</v>
      </c>
      <c r="T11" s="96" t="s">
        <v>268</v>
      </c>
      <c r="U11" s="99" t="n">
        <f aca="true">IF(A11="","",IF(AND(R11&lt;&gt;"",R11&lt;=TODAY()+30,P11="Yes",Q11="Yes",N11&lt;&gt;"Do Not Contact"),1,0))</f>
        <v>0</v>
      </c>
      <c r="V11" s="0" t="str">
        <f aca="false">IF(U11=1,COUNTIF($U$2:U11,1),"")</f>
        <v/>
      </c>
      <c r="W11" s="0" t="str">
        <f aca="false">IF(A11="","",A11&amp;" | "&amp;C11)</f>
        <v>CAN-2026-00010 | Ashley Thompson</v>
      </c>
      <c r="X11" s="99" t="n">
        <f aca="true">IF(A11="","",IF(AND(R11&lt;&gt;"",P11="Yes",Q11="Yes",N11&lt;&gt;"Do Not Contact"),IF(INT(R11)=TODAY(),1,IF(INT(R11)=TODAY()+1,2,0)),0))</f>
        <v>0</v>
      </c>
      <c r="Y11" s="0" t="str">
        <f aca="false">IF(OR(X11=1,X11=2),COUNTIF($X$2:X11,1)+COUNTIF($X$2:X11,2),"")</f>
        <v/>
      </c>
    </row>
    <row r="12" customFormat="false" ht="15" hidden="false" customHeight="false" outlineLevel="0" collapsed="false">
      <c r="A12" s="96" t="s">
        <v>322</v>
      </c>
      <c r="B12" s="97" t="n">
        <v>46137</v>
      </c>
      <c r="C12" s="96" t="s">
        <v>323</v>
      </c>
      <c r="D12" s="96" t="s">
        <v>324</v>
      </c>
      <c r="E12" s="96" t="s">
        <v>325</v>
      </c>
      <c r="F12" s="96" t="s">
        <v>191</v>
      </c>
      <c r="G12" s="96" t="s">
        <v>326</v>
      </c>
      <c r="H12" s="96" t="n">
        <v>5</v>
      </c>
      <c r="I12" s="98" t="n">
        <v>81000</v>
      </c>
      <c r="J12" s="96" t="s">
        <v>274</v>
      </c>
      <c r="K12" s="96" t="n">
        <v>45</v>
      </c>
      <c r="L12" s="96" t="s">
        <v>295</v>
      </c>
      <c r="M12" s="96" t="s">
        <v>184</v>
      </c>
      <c r="N12" s="96" t="s">
        <v>182</v>
      </c>
      <c r="O12" s="96" t="s">
        <v>327</v>
      </c>
      <c r="P12" s="96" t="s">
        <v>266</v>
      </c>
      <c r="Q12" s="96" t="s">
        <v>266</v>
      </c>
      <c r="R12" s="97" t="n">
        <v>46378</v>
      </c>
      <c r="S12" s="97"/>
      <c r="T12" s="96"/>
      <c r="U12" s="99" t="n">
        <f aca="true">IF(A12="","",IF(AND(R12&lt;&gt;"",R12&lt;=TODAY()+30,P12="Yes",Q12="Yes",N12&lt;&gt;"Do Not Contact"),1,0))</f>
        <v>0</v>
      </c>
      <c r="V12" s="0" t="str">
        <f aca="false">IF(U12=1,COUNTIF($U$2:U12,1),"")</f>
        <v/>
      </c>
      <c r="W12" s="0" t="str">
        <f aca="false">IF(A12="","",A12&amp;" | "&amp;C12)</f>
        <v>CAN-2026-00011 | Nicole Garcia</v>
      </c>
      <c r="X12" s="99" t="n">
        <f aca="true">IF(A12="","",IF(AND(R12&lt;&gt;"",P12="Yes",Q12="Yes",N12&lt;&gt;"Do Not Contact"),IF(INT(R12)=TODAY(),1,IF(INT(R12)=TODAY()+1,2,0)),0))</f>
        <v>0</v>
      </c>
      <c r="Y12" s="0" t="str">
        <f aca="false">IF(OR(X12=1,X12=2),COUNTIF($X$2:X12,1)+COUNTIF($X$2:X12,2),"")</f>
        <v/>
      </c>
    </row>
    <row r="13" customFormat="false" ht="15" hidden="false" customHeight="false" outlineLevel="0" collapsed="false">
      <c r="A13" s="96" t="s">
        <v>328</v>
      </c>
      <c r="B13" s="97" t="n">
        <v>46137</v>
      </c>
      <c r="C13" s="96" t="s">
        <v>329</v>
      </c>
      <c r="D13" s="96" t="s">
        <v>330</v>
      </c>
      <c r="E13" s="96" t="s">
        <v>325</v>
      </c>
      <c r="F13" s="96" t="s">
        <v>191</v>
      </c>
      <c r="G13" s="96" t="s">
        <v>331</v>
      </c>
      <c r="H13" s="96" t="n">
        <v>8</v>
      </c>
      <c r="I13" s="98" t="n">
        <v>87000</v>
      </c>
      <c r="J13" s="96" t="s">
        <v>332</v>
      </c>
      <c r="K13" s="96" t="n">
        <v>30</v>
      </c>
      <c r="L13" s="96" t="s">
        <v>295</v>
      </c>
      <c r="M13" s="96" t="s">
        <v>184</v>
      </c>
      <c r="N13" s="96" t="s">
        <v>182</v>
      </c>
      <c r="O13" s="96" t="s">
        <v>327</v>
      </c>
      <c r="P13" s="96" t="s">
        <v>266</v>
      </c>
      <c r="Q13" s="96" t="s">
        <v>266</v>
      </c>
      <c r="R13" s="97" t="n">
        <v>46366</v>
      </c>
      <c r="S13" s="97"/>
      <c r="T13" s="96"/>
      <c r="U13" s="99" t="n">
        <f aca="true">IF(A13="","",IF(AND(R13&lt;&gt;"",R13&lt;=TODAY()+30,P13="Yes",Q13="Yes",N13&lt;&gt;"Do Not Contact"),1,0))</f>
        <v>0</v>
      </c>
      <c r="V13" s="0" t="str">
        <f aca="false">IF(U13=1,COUNTIF($U$2:U13,1),"")</f>
        <v/>
      </c>
      <c r="W13" s="0" t="str">
        <f aca="false">IF(A13="","",A13&amp;" | "&amp;C13)</f>
        <v>CAN-2026-00012 | Brittany Thomas</v>
      </c>
      <c r="X13" s="99" t="n">
        <f aca="true">IF(A13="","",IF(AND(R13&lt;&gt;"",P13="Yes",Q13="Yes",N13&lt;&gt;"Do Not Contact"),IF(INT(R13)=TODAY(),1,IF(INT(R13)=TODAY()+1,2,0)),0))</f>
        <v>0</v>
      </c>
      <c r="Y13" s="0" t="str">
        <f aca="false">IF(OR(X13=1,X13=2),COUNTIF($X$2:X13,1)+COUNTIF($X$2:X13,2),"")</f>
        <v/>
      </c>
    </row>
    <row r="14" customFormat="false" ht="15" hidden="false" customHeight="false" outlineLevel="0" collapsed="false">
      <c r="A14" s="96" t="s">
        <v>333</v>
      </c>
      <c r="B14" s="97" t="n">
        <v>46139</v>
      </c>
      <c r="C14" s="96" t="s">
        <v>334</v>
      </c>
      <c r="D14" s="96" t="s">
        <v>335</v>
      </c>
      <c r="E14" s="96" t="s">
        <v>261</v>
      </c>
      <c r="F14" s="96" t="s">
        <v>193</v>
      </c>
      <c r="G14" s="96" t="s">
        <v>336</v>
      </c>
      <c r="H14" s="96" t="n">
        <v>10</v>
      </c>
      <c r="I14" s="98" t="n">
        <v>110000</v>
      </c>
      <c r="J14" s="96" t="s">
        <v>274</v>
      </c>
      <c r="K14" s="96" t="n">
        <v>14</v>
      </c>
      <c r="L14" s="96" t="s">
        <v>295</v>
      </c>
      <c r="M14" s="96" t="s">
        <v>192</v>
      </c>
      <c r="N14" s="96" t="s">
        <v>182</v>
      </c>
      <c r="O14" s="96" t="s">
        <v>296</v>
      </c>
      <c r="P14" s="96" t="s">
        <v>266</v>
      </c>
      <c r="Q14" s="96" t="s">
        <v>266</v>
      </c>
      <c r="R14" s="97" t="n">
        <f aca="true">TODAY()</f>
        <v>46300</v>
      </c>
      <c r="S14" s="97"/>
      <c r="T14" s="96"/>
      <c r="U14" s="99" t="n">
        <f aca="true">IF(A14="","",IF(AND(R14&lt;&gt;"",R14&lt;=TODAY()+30,P14="Yes",Q14="Yes",N14&lt;&gt;"Do Not Contact"),1,0))</f>
        <v>1</v>
      </c>
      <c r="V14" s="99" t="n">
        <f aca="false">IF(U14=1,COUNTIF($U$2:U14,1),"")</f>
        <v>3</v>
      </c>
      <c r="W14" s="0" t="str">
        <f aca="false">IF(A14="","",A14&amp;" | "&amp;C14)</f>
        <v>CAN-2026-00013 | Jessica Thomas</v>
      </c>
      <c r="X14" s="99" t="n">
        <f aca="true">IF(A14="","",IF(AND(R14&lt;&gt;"",P14="Yes",Q14="Yes",N14&lt;&gt;"Do Not Contact"),IF(INT(R14)=TODAY(),1,IF(INT(R14)=TODAY()+1,2,0)),0))</f>
        <v>1</v>
      </c>
      <c r="Y14" s="99" t="n">
        <f aca="false">IF(OR(X14=1,X14=2),COUNTIF($X$2:X14,1)+COUNTIF($X$2:X14,2),"")</f>
        <v>2</v>
      </c>
    </row>
    <row r="15" customFormat="false" ht="15" hidden="false" customHeight="false" outlineLevel="0" collapsed="false">
      <c r="A15" s="96" t="s">
        <v>337</v>
      </c>
      <c r="B15" s="97" t="n">
        <v>46143</v>
      </c>
      <c r="C15" s="96" t="s">
        <v>338</v>
      </c>
      <c r="D15" s="96" t="s">
        <v>339</v>
      </c>
      <c r="E15" s="96" t="s">
        <v>301</v>
      </c>
      <c r="F15" s="96" t="s">
        <v>179</v>
      </c>
      <c r="G15" s="96" t="s">
        <v>340</v>
      </c>
      <c r="H15" s="96" t="n">
        <v>2</v>
      </c>
      <c r="I15" s="98" t="n">
        <v>125000</v>
      </c>
      <c r="J15" s="96" t="s">
        <v>307</v>
      </c>
      <c r="K15" s="96" t="n">
        <v>0</v>
      </c>
      <c r="L15" s="96" t="s">
        <v>275</v>
      </c>
      <c r="M15" s="96" t="s">
        <v>192</v>
      </c>
      <c r="N15" s="96" t="s">
        <v>188</v>
      </c>
      <c r="O15" s="96" t="s">
        <v>296</v>
      </c>
      <c r="P15" s="96" t="s">
        <v>267</v>
      </c>
      <c r="Q15" s="96" t="s">
        <v>266</v>
      </c>
      <c r="R15" s="97"/>
      <c r="S15" s="97"/>
      <c r="T15" s="96"/>
      <c r="U15" s="99" t="n">
        <f aca="true">IF(A15="","",IF(AND(R15&lt;&gt;"",R15&lt;=TODAY()+30,P15="Yes",Q15="Yes",N15&lt;&gt;"Do Not Contact"),1,0))</f>
        <v>0</v>
      </c>
      <c r="V15" s="0" t="str">
        <f aca="false">IF(U15=1,COUNTIF($U$2:U15,1),"")</f>
        <v/>
      </c>
      <c r="W15" s="0" t="str">
        <f aca="false">IF(A15="","",A15&amp;" | "&amp;C15)</f>
        <v>CAN-2026-00014 | Christopher Garcia</v>
      </c>
      <c r="X15" s="99" t="n">
        <f aca="true">IF(A15="","",IF(AND(R15&lt;&gt;"",P15="Yes",Q15="Yes",N15&lt;&gt;"Do Not Contact"),IF(INT(R15)=TODAY(),1,IF(INT(R15)=TODAY()+1,2,0)),0))</f>
        <v>0</v>
      </c>
      <c r="Y15" s="0" t="str">
        <f aca="false">IF(OR(X15=1,X15=2),COUNTIF($X$2:X15,1)+COUNTIF($X$2:X15,2),"")</f>
        <v/>
      </c>
    </row>
    <row r="16" customFormat="false" ht="15" hidden="false" customHeight="false" outlineLevel="0" collapsed="false">
      <c r="A16" s="96" t="s">
        <v>341</v>
      </c>
      <c r="B16" s="97" t="n">
        <v>46146</v>
      </c>
      <c r="C16" s="96" t="s">
        <v>342</v>
      </c>
      <c r="D16" s="96" t="s">
        <v>343</v>
      </c>
      <c r="E16" s="96" t="s">
        <v>301</v>
      </c>
      <c r="F16" s="96" t="s">
        <v>179</v>
      </c>
      <c r="G16" s="96" t="s">
        <v>344</v>
      </c>
      <c r="H16" s="96" t="n">
        <v>4</v>
      </c>
      <c r="I16" s="98" t="n">
        <v>96000</v>
      </c>
      <c r="J16" s="96" t="s">
        <v>274</v>
      </c>
      <c r="K16" s="96" t="n">
        <v>30</v>
      </c>
      <c r="L16" s="96" t="s">
        <v>308</v>
      </c>
      <c r="M16" s="96" t="s">
        <v>190</v>
      </c>
      <c r="N16" s="96" t="s">
        <v>185</v>
      </c>
      <c r="O16" s="96" t="s">
        <v>282</v>
      </c>
      <c r="P16" s="96" t="s">
        <v>266</v>
      </c>
      <c r="Q16" s="96" t="s">
        <v>266</v>
      </c>
      <c r="R16" s="97"/>
      <c r="S16" s="97"/>
      <c r="T16" s="96"/>
      <c r="U16" s="99" t="n">
        <f aca="true">IF(A16="","",IF(AND(R16&lt;&gt;"",R16&lt;=TODAY()+30,P16="Yes",Q16="Yes",N16&lt;&gt;"Do Not Contact"),1,0))</f>
        <v>0</v>
      </c>
      <c r="V16" s="0" t="str">
        <f aca="false">IF(U16=1,COUNTIF($U$2:U16,1),"")</f>
        <v/>
      </c>
      <c r="W16" s="0" t="str">
        <f aca="false">IF(A16="","",A16&amp;" | "&amp;C16)</f>
        <v>CAN-2026-00015 | Jason Miller</v>
      </c>
      <c r="X16" s="99" t="n">
        <f aca="true">IF(A16="","",IF(AND(R16&lt;&gt;"",P16="Yes",Q16="Yes",N16&lt;&gt;"Do Not Contact"),IF(INT(R16)=TODAY(),1,IF(INT(R16)=TODAY()+1,2,0)),0))</f>
        <v>0</v>
      </c>
      <c r="Y16" s="0" t="str">
        <f aca="false">IF(OR(X16=1,X16=2),COUNTIF($X$2:X16,1)+COUNTIF($X$2:X16,2),"")</f>
        <v/>
      </c>
    </row>
    <row r="17" customFormat="false" ht="15" hidden="false" customHeight="false" outlineLevel="0" collapsed="false">
      <c r="A17" s="96" t="s">
        <v>345</v>
      </c>
      <c r="B17" s="97" t="n">
        <v>46151</v>
      </c>
      <c r="C17" s="96" t="s">
        <v>346</v>
      </c>
      <c r="D17" s="96" t="s">
        <v>347</v>
      </c>
      <c r="E17" s="96" t="s">
        <v>348</v>
      </c>
      <c r="F17" s="96" t="s">
        <v>183</v>
      </c>
      <c r="G17" s="96" t="s">
        <v>349</v>
      </c>
      <c r="H17" s="96" t="n">
        <v>3</v>
      </c>
      <c r="I17" s="98" t="n">
        <v>96000</v>
      </c>
      <c r="J17" s="96" t="s">
        <v>294</v>
      </c>
      <c r="K17" s="96" t="n">
        <v>30</v>
      </c>
      <c r="L17" s="96" t="s">
        <v>295</v>
      </c>
      <c r="M17" s="96" t="s">
        <v>194</v>
      </c>
      <c r="N17" s="96" t="s">
        <v>178</v>
      </c>
      <c r="O17" s="96" t="s">
        <v>350</v>
      </c>
      <c r="P17" s="96" t="s">
        <v>267</v>
      </c>
      <c r="Q17" s="96" t="s">
        <v>266</v>
      </c>
      <c r="R17" s="97"/>
      <c r="S17" s="97"/>
      <c r="T17" s="96"/>
      <c r="U17" s="99" t="n">
        <f aca="true">IF(A17="","",IF(AND(R17&lt;&gt;"",R17&lt;=TODAY()+30,P17="Yes",Q17="Yes",N17&lt;&gt;"Do Not Contact"),1,0))</f>
        <v>0</v>
      </c>
      <c r="V17" s="0" t="str">
        <f aca="false">IF(U17=1,COUNTIF($U$2:U17,1),"")</f>
        <v/>
      </c>
      <c r="W17" s="0" t="str">
        <f aca="false">IF(A17="","",A17&amp;" | "&amp;C17)</f>
        <v>CAN-2026-00016 | Brittany Jackson</v>
      </c>
      <c r="X17" s="99" t="n">
        <f aca="true">IF(A17="","",IF(AND(R17&lt;&gt;"",P17="Yes",Q17="Yes",N17&lt;&gt;"Do Not Contact"),IF(INT(R17)=TODAY(),1,IF(INT(R17)=TODAY()+1,2,0)),0))</f>
        <v>0</v>
      </c>
      <c r="Y17" s="0" t="str">
        <f aca="false">IF(OR(X17=1,X17=2),COUNTIF($X$2:X17,1)+COUNTIF($X$2:X17,2),"")</f>
        <v/>
      </c>
    </row>
    <row r="18" customFormat="false" ht="15" hidden="false" customHeight="false" outlineLevel="0" collapsed="false">
      <c r="A18" s="96" t="s">
        <v>351</v>
      </c>
      <c r="B18" s="97" t="n">
        <v>46155</v>
      </c>
      <c r="C18" s="96" t="s">
        <v>352</v>
      </c>
      <c r="D18" s="96" t="s">
        <v>353</v>
      </c>
      <c r="E18" s="96" t="s">
        <v>272</v>
      </c>
      <c r="F18" s="96" t="s">
        <v>189</v>
      </c>
      <c r="G18" s="96" t="s">
        <v>354</v>
      </c>
      <c r="H18" s="96" t="n">
        <v>8</v>
      </c>
      <c r="I18" s="98" t="n">
        <v>56000</v>
      </c>
      <c r="J18" s="96" t="s">
        <v>332</v>
      </c>
      <c r="K18" s="96" t="n">
        <v>14</v>
      </c>
      <c r="L18" s="96" t="s">
        <v>275</v>
      </c>
      <c r="M18" s="96" t="s">
        <v>192</v>
      </c>
      <c r="N18" s="96" t="s">
        <v>188</v>
      </c>
      <c r="O18" s="96" t="s">
        <v>276</v>
      </c>
      <c r="P18" s="96" t="s">
        <v>267</v>
      </c>
      <c r="Q18" s="96" t="s">
        <v>266</v>
      </c>
      <c r="R18" s="97"/>
      <c r="S18" s="97"/>
      <c r="T18" s="96"/>
      <c r="U18" s="99" t="n">
        <f aca="true">IF(A18="","",IF(AND(R18&lt;&gt;"",R18&lt;=TODAY()+30,P18="Yes",Q18="Yes",N18&lt;&gt;"Do Not Contact"),1,0))</f>
        <v>0</v>
      </c>
      <c r="V18" s="0" t="str">
        <f aca="false">IF(U18=1,COUNTIF($U$2:U18,1),"")</f>
        <v/>
      </c>
      <c r="W18" s="0" t="str">
        <f aca="false">IF(A18="","",A18&amp;" | "&amp;C18)</f>
        <v>CAN-2026-00017 | Emily Martin</v>
      </c>
      <c r="X18" s="99" t="n">
        <f aca="true">IF(A18="","",IF(AND(R18&lt;&gt;"",P18="Yes",Q18="Yes",N18&lt;&gt;"Do Not Contact"),IF(INT(R18)=TODAY(),1,IF(INT(R18)=TODAY()+1,2,0)),0))</f>
        <v>0</v>
      </c>
      <c r="Y18" s="0" t="str">
        <f aca="false">IF(OR(X18=1,X18=2),COUNTIF($X$2:X18,1)+COUNTIF($X$2:X18,2),"")</f>
        <v/>
      </c>
    </row>
    <row r="19" customFormat="false" ht="15" hidden="false" customHeight="false" outlineLevel="0" collapsed="false">
      <c r="A19" s="96" t="s">
        <v>355</v>
      </c>
      <c r="B19" s="97" t="n">
        <v>46175</v>
      </c>
      <c r="C19" s="96" t="s">
        <v>356</v>
      </c>
      <c r="D19" s="96" t="s">
        <v>357</v>
      </c>
      <c r="E19" s="96" t="s">
        <v>286</v>
      </c>
      <c r="F19" s="96" t="s">
        <v>195</v>
      </c>
      <c r="G19" s="96" t="s">
        <v>358</v>
      </c>
      <c r="H19" s="96" t="n">
        <v>3</v>
      </c>
      <c r="I19" s="98" t="n">
        <v>81000</v>
      </c>
      <c r="J19" s="96" t="s">
        <v>274</v>
      </c>
      <c r="K19" s="96" t="n">
        <v>60</v>
      </c>
      <c r="L19" s="96" t="s">
        <v>275</v>
      </c>
      <c r="M19" s="96" t="s">
        <v>192</v>
      </c>
      <c r="N19" s="96" t="s">
        <v>182</v>
      </c>
      <c r="O19" s="96" t="s">
        <v>359</v>
      </c>
      <c r="P19" s="96" t="s">
        <v>266</v>
      </c>
      <c r="Q19" s="96" t="s">
        <v>266</v>
      </c>
      <c r="R19" s="97" t="n">
        <f aca="true">TODAY()+1</f>
        <v>46301</v>
      </c>
      <c r="S19" s="97"/>
      <c r="T19" s="96"/>
      <c r="U19" s="99" t="n">
        <f aca="true">IF(A19="","",IF(AND(R19&lt;&gt;"",R19&lt;=TODAY()+30,P19="Yes",Q19="Yes",N19&lt;&gt;"Do Not Contact"),1,0))</f>
        <v>1</v>
      </c>
      <c r="V19" s="99" t="n">
        <f aca="false">IF(U19=1,COUNTIF($U$2:U19,1),"")</f>
        <v>4</v>
      </c>
      <c r="W19" s="0" t="str">
        <f aca="false">IF(A19="","",A19&amp;" | "&amp;C19)</f>
        <v>CAN-2026-00018 | Jessica Anderson</v>
      </c>
      <c r="X19" s="99" t="n">
        <f aca="true">IF(A19="","",IF(AND(R19&lt;&gt;"",P19="Yes",Q19="Yes",N19&lt;&gt;"Do Not Contact"),IF(INT(R19)=TODAY(),1,IF(INT(R19)=TODAY()+1,2,0)),0))</f>
        <v>2</v>
      </c>
      <c r="Y19" s="99" t="n">
        <f aca="false">IF(OR(X19=1,X19=2),COUNTIF($X$2:X19,1)+COUNTIF($X$2:X19,2),"")</f>
        <v>3</v>
      </c>
    </row>
    <row r="20" customFormat="false" ht="15" hidden="false" customHeight="false" outlineLevel="0" collapsed="false">
      <c r="A20" s="96" t="s">
        <v>360</v>
      </c>
      <c r="B20" s="97" t="n">
        <v>46179</v>
      </c>
      <c r="C20" s="96" t="s">
        <v>361</v>
      </c>
      <c r="D20" s="96" t="s">
        <v>362</v>
      </c>
      <c r="E20" s="96" t="s">
        <v>363</v>
      </c>
      <c r="F20" s="96" t="s">
        <v>195</v>
      </c>
      <c r="G20" s="96" t="s">
        <v>364</v>
      </c>
      <c r="H20" s="96" t="n">
        <v>4</v>
      </c>
      <c r="I20" s="98" t="n">
        <v>112000</v>
      </c>
      <c r="J20" s="96" t="s">
        <v>274</v>
      </c>
      <c r="K20" s="96" t="n">
        <v>14</v>
      </c>
      <c r="L20" s="96" t="s">
        <v>275</v>
      </c>
      <c r="M20" s="96" t="s">
        <v>192</v>
      </c>
      <c r="N20" s="96" t="s">
        <v>185</v>
      </c>
      <c r="O20" s="96" t="s">
        <v>296</v>
      </c>
      <c r="P20" s="96" t="s">
        <v>266</v>
      </c>
      <c r="Q20" s="96" t="s">
        <v>266</v>
      </c>
      <c r="R20" s="97"/>
      <c r="S20" s="97"/>
      <c r="T20" s="96"/>
      <c r="U20" s="99" t="n">
        <f aca="true">IF(A20="","",IF(AND(R20&lt;&gt;"",R20&lt;=TODAY()+30,P20="Yes",Q20="Yes",N20&lt;&gt;"Do Not Contact"),1,0))</f>
        <v>0</v>
      </c>
      <c r="V20" s="0" t="str">
        <f aca="false">IF(U20=1,COUNTIF($U$2:U20,1),"")</f>
        <v/>
      </c>
      <c r="W20" s="0" t="str">
        <f aca="false">IF(A20="","",A20&amp;" | "&amp;C20)</f>
        <v>CAN-2026-00019 | Jessica Wilson</v>
      </c>
      <c r="X20" s="99" t="n">
        <f aca="true">IF(A20="","",IF(AND(R20&lt;&gt;"",P20="Yes",Q20="Yes",N20&lt;&gt;"Do Not Contact"),IF(INT(R20)=TODAY(),1,IF(INT(R20)=TODAY()+1,2,0)),0))</f>
        <v>0</v>
      </c>
      <c r="Y20" s="0" t="str">
        <f aca="false">IF(OR(X20=1,X20=2),COUNTIF($X$2:X20,1)+COUNTIF($X$2:X20,2),"")</f>
        <v/>
      </c>
    </row>
    <row r="21" customFormat="false" ht="15" hidden="false" customHeight="false" outlineLevel="0" collapsed="false">
      <c r="A21" s="96" t="s">
        <v>365</v>
      </c>
      <c r="B21" s="97" t="n">
        <v>46182</v>
      </c>
      <c r="C21" s="96" t="s">
        <v>366</v>
      </c>
      <c r="D21" s="96" t="s">
        <v>367</v>
      </c>
      <c r="E21" s="96" t="s">
        <v>261</v>
      </c>
      <c r="F21" s="96" t="s">
        <v>193</v>
      </c>
      <c r="G21" s="96" t="s">
        <v>368</v>
      </c>
      <c r="H21" s="96" t="n">
        <v>3</v>
      </c>
      <c r="I21" s="98" t="n">
        <v>79000</v>
      </c>
      <c r="J21" s="96" t="s">
        <v>288</v>
      </c>
      <c r="K21" s="96" t="n">
        <v>60</v>
      </c>
      <c r="L21" s="96" t="s">
        <v>295</v>
      </c>
      <c r="M21" s="96" t="s">
        <v>194</v>
      </c>
      <c r="N21" s="96" t="s">
        <v>182</v>
      </c>
      <c r="O21" s="96" t="s">
        <v>265</v>
      </c>
      <c r="P21" s="96" t="s">
        <v>266</v>
      </c>
      <c r="Q21" s="96" t="s">
        <v>266</v>
      </c>
      <c r="R21" s="97" t="n">
        <v>46283</v>
      </c>
      <c r="S21" s="97"/>
      <c r="T21" s="96"/>
      <c r="U21" s="99" t="n">
        <f aca="true">IF(A21="","",IF(AND(R21&lt;&gt;"",R21&lt;=TODAY()+30,P21="Yes",Q21="Yes",N21&lt;&gt;"Do Not Contact"),1,0))</f>
        <v>1</v>
      </c>
      <c r="V21" s="99" t="n">
        <f aca="false">IF(U21=1,COUNTIF($U$2:U21,1),"")</f>
        <v>5</v>
      </c>
      <c r="W21" s="0" t="str">
        <f aca="false">IF(A21="","",A21&amp;" | "&amp;C21)</f>
        <v>CAN-2026-00020 | Ashley Thomas</v>
      </c>
      <c r="X21" s="99" t="n">
        <f aca="true">IF(A21="","",IF(AND(R21&lt;&gt;"",P21="Yes",Q21="Yes",N21&lt;&gt;"Do Not Contact"),IF(INT(R21)=TODAY(),1,IF(INT(R21)=TODAY()+1,2,0)),0))</f>
        <v>0</v>
      </c>
      <c r="Y21" s="0" t="str">
        <f aca="false">IF(OR(X21=1,X21=2),COUNTIF($X$2:X21,1)+COUNTIF($X$2:X21,2),"")</f>
        <v/>
      </c>
    </row>
    <row r="22" customFormat="false" ht="15" hidden="false" customHeight="false" outlineLevel="0" collapsed="false">
      <c r="A22" s="96" t="s">
        <v>369</v>
      </c>
      <c r="B22" s="97" t="n">
        <v>46182</v>
      </c>
      <c r="C22" s="96" t="s">
        <v>370</v>
      </c>
      <c r="D22" s="96" t="s">
        <v>371</v>
      </c>
      <c r="E22" s="96" t="s">
        <v>301</v>
      </c>
      <c r="F22" s="96" t="s">
        <v>179</v>
      </c>
      <c r="G22" s="96" t="s">
        <v>372</v>
      </c>
      <c r="H22" s="96" t="n">
        <v>9</v>
      </c>
      <c r="I22" s="98" t="n">
        <v>120000</v>
      </c>
      <c r="J22" s="96" t="s">
        <v>288</v>
      </c>
      <c r="K22" s="96" t="n">
        <v>14</v>
      </c>
      <c r="L22" s="96" t="s">
        <v>264</v>
      </c>
      <c r="M22" s="96" t="s">
        <v>192</v>
      </c>
      <c r="N22" s="96" t="s">
        <v>178</v>
      </c>
      <c r="O22" s="96" t="s">
        <v>296</v>
      </c>
      <c r="P22" s="96" t="s">
        <v>266</v>
      </c>
      <c r="Q22" s="96" t="s">
        <v>267</v>
      </c>
      <c r="R22" s="97" t="n">
        <v>46385</v>
      </c>
      <c r="S22" s="97"/>
      <c r="T22" s="96"/>
      <c r="U22" s="99" t="n">
        <f aca="true">IF(A22="","",IF(AND(R22&lt;&gt;"",R22&lt;=TODAY()+30,P22="Yes",Q22="Yes",N22&lt;&gt;"Do Not Contact"),1,0))</f>
        <v>0</v>
      </c>
      <c r="V22" s="0" t="str">
        <f aca="false">IF(U22=1,COUNTIF($U$2:U22,1),"")</f>
        <v/>
      </c>
      <c r="W22" s="0" t="str">
        <f aca="false">IF(A22="","",A22&amp;" | "&amp;C22)</f>
        <v>CAN-2026-00021 | Tyler Jackson</v>
      </c>
      <c r="X22" s="99" t="n">
        <f aca="true">IF(A22="","",IF(AND(R22&lt;&gt;"",P22="Yes",Q22="Yes",N22&lt;&gt;"Do Not Contact"),IF(INT(R22)=TODAY(),1,IF(INT(R22)=TODAY()+1,2,0)),0))</f>
        <v>0</v>
      </c>
      <c r="Y22" s="0" t="str">
        <f aca="false">IF(OR(X22=1,X22=2),COUNTIF($X$2:X22,1)+COUNTIF($X$2:X22,2),"")</f>
        <v/>
      </c>
    </row>
    <row r="23" customFormat="false" ht="15" hidden="false" customHeight="false" outlineLevel="0" collapsed="false">
      <c r="A23" s="96" t="s">
        <v>373</v>
      </c>
      <c r="B23" s="97" t="n">
        <v>46194</v>
      </c>
      <c r="C23" s="96" t="s">
        <v>374</v>
      </c>
      <c r="D23" s="96" t="s">
        <v>375</v>
      </c>
      <c r="E23" s="96" t="s">
        <v>286</v>
      </c>
      <c r="F23" s="96" t="s">
        <v>195</v>
      </c>
      <c r="G23" s="96" t="s">
        <v>376</v>
      </c>
      <c r="H23" s="96" t="n">
        <v>3</v>
      </c>
      <c r="I23" s="98" t="n">
        <v>76000</v>
      </c>
      <c r="J23" s="96" t="s">
        <v>332</v>
      </c>
      <c r="K23" s="96" t="n">
        <v>0</v>
      </c>
      <c r="L23" s="96" t="s">
        <v>264</v>
      </c>
      <c r="M23" s="96" t="s">
        <v>192</v>
      </c>
      <c r="N23" s="96" t="s">
        <v>182</v>
      </c>
      <c r="O23" s="96" t="s">
        <v>359</v>
      </c>
      <c r="P23" s="96" t="s">
        <v>266</v>
      </c>
      <c r="Q23" s="96" t="s">
        <v>266</v>
      </c>
      <c r="R23" s="97" t="n">
        <f aca="true">TODAY()+1</f>
        <v>46301</v>
      </c>
      <c r="S23" s="97"/>
      <c r="T23" s="96"/>
      <c r="U23" s="99" t="n">
        <f aca="true">IF(A23="","",IF(AND(R23&lt;&gt;"",R23&lt;=TODAY()+30,P23="Yes",Q23="Yes",N23&lt;&gt;"Do Not Contact"),1,0))</f>
        <v>1</v>
      </c>
      <c r="V23" s="99" t="n">
        <f aca="false">IF(U23=1,COUNTIF($U$2:U23,1),"")</f>
        <v>6</v>
      </c>
      <c r="W23" s="0" t="str">
        <f aca="false">IF(A23="","",A23&amp;" | "&amp;C23)</f>
        <v>CAN-2026-00022 | Megan Martin</v>
      </c>
      <c r="X23" s="99" t="n">
        <f aca="true">IF(A23="","",IF(AND(R23&lt;&gt;"",P23="Yes",Q23="Yes",N23&lt;&gt;"Do Not Contact"),IF(INT(R23)=TODAY(),1,IF(INT(R23)=TODAY()+1,2,0)),0))</f>
        <v>2</v>
      </c>
      <c r="Y23" s="99" t="n">
        <f aca="false">IF(OR(X23=1,X23=2),COUNTIF($X$2:X23,1)+COUNTIF($X$2:X23,2),"")</f>
        <v>4</v>
      </c>
    </row>
    <row r="24" customFormat="false" ht="15" hidden="false" customHeight="false" outlineLevel="0" collapsed="false">
      <c r="A24" s="96" t="s">
        <v>377</v>
      </c>
      <c r="B24" s="97" t="n">
        <v>46196</v>
      </c>
      <c r="C24" s="96" t="s">
        <v>378</v>
      </c>
      <c r="D24" s="96" t="s">
        <v>379</v>
      </c>
      <c r="E24" s="96" t="s">
        <v>261</v>
      </c>
      <c r="F24" s="96" t="s">
        <v>193</v>
      </c>
      <c r="G24" s="96" t="s">
        <v>380</v>
      </c>
      <c r="H24" s="96" t="n">
        <v>6</v>
      </c>
      <c r="I24" s="98" t="n">
        <v>116000</v>
      </c>
      <c r="J24" s="96" t="s">
        <v>307</v>
      </c>
      <c r="K24" s="96" t="n">
        <v>14</v>
      </c>
      <c r="L24" s="96" t="s">
        <v>275</v>
      </c>
      <c r="M24" s="96" t="s">
        <v>192</v>
      </c>
      <c r="N24" s="96" t="s">
        <v>185</v>
      </c>
      <c r="O24" s="96" t="s">
        <v>359</v>
      </c>
      <c r="P24" s="96" t="s">
        <v>266</v>
      </c>
      <c r="Q24" s="96" t="s">
        <v>266</v>
      </c>
      <c r="R24" s="97"/>
      <c r="S24" s="97"/>
      <c r="T24" s="96"/>
      <c r="U24" s="99" t="n">
        <f aca="true">IF(A24="","",IF(AND(R24&lt;&gt;"",R24&lt;=TODAY()+30,P24="Yes",Q24="Yes",N24&lt;&gt;"Do Not Contact"),1,0))</f>
        <v>0</v>
      </c>
      <c r="V24" s="0" t="str">
        <f aca="false">IF(U24=1,COUNTIF($U$2:U24,1),"")</f>
        <v/>
      </c>
      <c r="W24" s="0" t="str">
        <f aca="false">IF(A24="","",A24&amp;" | "&amp;C24)</f>
        <v>CAN-2026-00023 | Sarah Martinez</v>
      </c>
      <c r="X24" s="99" t="n">
        <f aca="true">IF(A24="","",IF(AND(R24&lt;&gt;"",P24="Yes",Q24="Yes",N24&lt;&gt;"Do Not Contact"),IF(INT(R24)=TODAY(),1,IF(INT(R24)=TODAY()+1,2,0)),0))</f>
        <v>0</v>
      </c>
      <c r="Y24" s="0" t="str">
        <f aca="false">IF(OR(X24=1,X24=2),COUNTIF($X$2:X24,1)+COUNTIF($X$2:X24,2),"")</f>
        <v/>
      </c>
    </row>
    <row r="25" customFormat="false" ht="15" hidden="false" customHeight="false" outlineLevel="0" collapsed="false">
      <c r="A25" s="96" t="s">
        <v>381</v>
      </c>
      <c r="B25" s="97" t="n">
        <v>46197</v>
      </c>
      <c r="C25" s="96" t="s">
        <v>382</v>
      </c>
      <c r="D25" s="96" t="s">
        <v>383</v>
      </c>
      <c r="E25" s="96" t="s">
        <v>272</v>
      </c>
      <c r="F25" s="96" t="s">
        <v>189</v>
      </c>
      <c r="G25" s="96" t="s">
        <v>384</v>
      </c>
      <c r="H25" s="96" t="n">
        <v>5</v>
      </c>
      <c r="I25" s="98" t="n">
        <v>65000</v>
      </c>
      <c r="J25" s="96" t="s">
        <v>274</v>
      </c>
      <c r="K25" s="96" t="n">
        <v>14</v>
      </c>
      <c r="L25" s="96" t="s">
        <v>281</v>
      </c>
      <c r="M25" s="96" t="s">
        <v>192</v>
      </c>
      <c r="N25" s="96" t="s">
        <v>185</v>
      </c>
      <c r="O25" s="96" t="s">
        <v>359</v>
      </c>
      <c r="P25" s="96" t="s">
        <v>266</v>
      </c>
      <c r="Q25" s="96" t="s">
        <v>266</v>
      </c>
      <c r="R25" s="97"/>
      <c r="S25" s="97"/>
      <c r="T25" s="96"/>
      <c r="U25" s="99" t="n">
        <f aca="true">IF(A25="","",IF(AND(R25&lt;&gt;"",R25&lt;=TODAY()+30,P25="Yes",Q25="Yes",N25&lt;&gt;"Do Not Contact"),1,0))</f>
        <v>0</v>
      </c>
      <c r="V25" s="0" t="str">
        <f aca="false">IF(U25=1,COUNTIF($U$2:U25,1),"")</f>
        <v/>
      </c>
      <c r="W25" s="0" t="str">
        <f aca="false">IF(A25="","",A25&amp;" | "&amp;C25)</f>
        <v>CAN-2026-00024 | Lauren Davis</v>
      </c>
      <c r="X25" s="99" t="n">
        <f aca="true">IF(A25="","",IF(AND(R25&lt;&gt;"",P25="Yes",Q25="Yes",N25&lt;&gt;"Do Not Contact"),IF(INT(R25)=TODAY(),1,IF(INT(R25)=TODAY()+1,2,0)),0))</f>
        <v>0</v>
      </c>
      <c r="Y25" s="0" t="str">
        <f aca="false">IF(OR(X25=1,X25=2),COUNTIF($X$2:X25,1)+COUNTIF($X$2:X25,2),"")</f>
        <v/>
      </c>
    </row>
    <row r="26" customFormat="false" ht="15" hidden="false" customHeight="false" outlineLevel="0" collapsed="false">
      <c r="A26" s="96" t="s">
        <v>385</v>
      </c>
      <c r="B26" s="97" t="n">
        <v>46199</v>
      </c>
      <c r="C26" s="96" t="s">
        <v>386</v>
      </c>
      <c r="D26" s="96" t="s">
        <v>387</v>
      </c>
      <c r="E26" s="96" t="s">
        <v>388</v>
      </c>
      <c r="F26" s="96" t="s">
        <v>186</v>
      </c>
      <c r="G26" s="96" t="s">
        <v>389</v>
      </c>
      <c r="H26" s="96" t="n">
        <v>3</v>
      </c>
      <c r="I26" s="98" t="n">
        <v>65000</v>
      </c>
      <c r="J26" s="96" t="s">
        <v>263</v>
      </c>
      <c r="K26" s="96" t="n">
        <v>30</v>
      </c>
      <c r="L26" s="96" t="s">
        <v>308</v>
      </c>
      <c r="M26" s="96" t="s">
        <v>192</v>
      </c>
      <c r="N26" s="96" t="s">
        <v>182</v>
      </c>
      <c r="O26" s="96" t="s">
        <v>289</v>
      </c>
      <c r="P26" s="96" t="s">
        <v>266</v>
      </c>
      <c r="Q26" s="96" t="s">
        <v>266</v>
      </c>
      <c r="R26" s="97" t="n">
        <v>46303</v>
      </c>
      <c r="S26" s="97"/>
      <c r="T26" s="96"/>
      <c r="U26" s="99" t="n">
        <f aca="true">IF(A26="","",IF(AND(R26&lt;&gt;"",R26&lt;=TODAY()+30,P26="Yes",Q26="Yes",N26&lt;&gt;"Do Not Contact"),1,0))</f>
        <v>1</v>
      </c>
      <c r="V26" s="99" t="n">
        <f aca="false">IF(U26=1,COUNTIF($U$2:U26,1),"")</f>
        <v>7</v>
      </c>
      <c r="W26" s="0" t="str">
        <f aca="false">IF(A26="","",A26&amp;" | "&amp;C26)</f>
        <v>CAN-2026-00025 | Amanda Thompson</v>
      </c>
      <c r="X26" s="99" t="n">
        <f aca="true">IF(A26="","",IF(AND(R26&lt;&gt;"",P26="Yes",Q26="Yes",N26&lt;&gt;"Do Not Contact"),IF(INT(R26)=TODAY(),1,IF(INT(R26)=TODAY()+1,2,0)),0))</f>
        <v>0</v>
      </c>
      <c r="Y26" s="0" t="str">
        <f aca="false">IF(OR(X26=1,X26=2),COUNTIF($X$2:X26,1)+COUNTIF($X$2:X26,2),"")</f>
        <v/>
      </c>
    </row>
    <row r="27" customFormat="false" ht="15" hidden="false" customHeight="false" outlineLevel="0" collapsed="false">
      <c r="A27" s="96" t="s">
        <v>390</v>
      </c>
      <c r="B27" s="97" t="n">
        <v>46203</v>
      </c>
      <c r="C27" s="96" t="s">
        <v>391</v>
      </c>
      <c r="D27" s="96" t="s">
        <v>392</v>
      </c>
      <c r="E27" s="96" t="s">
        <v>272</v>
      </c>
      <c r="F27" s="96" t="s">
        <v>189</v>
      </c>
      <c r="G27" s="96" t="s">
        <v>393</v>
      </c>
      <c r="H27" s="96" t="n">
        <v>5</v>
      </c>
      <c r="I27" s="98" t="n">
        <v>68000</v>
      </c>
      <c r="J27" s="96" t="s">
        <v>274</v>
      </c>
      <c r="K27" s="96" t="n">
        <v>14</v>
      </c>
      <c r="L27" s="96" t="s">
        <v>281</v>
      </c>
      <c r="M27" s="96" t="s">
        <v>192</v>
      </c>
      <c r="N27" s="96" t="s">
        <v>182</v>
      </c>
      <c r="O27" s="96" t="s">
        <v>359</v>
      </c>
      <c r="P27" s="96" t="s">
        <v>266</v>
      </c>
      <c r="Q27" s="96" t="s">
        <v>266</v>
      </c>
      <c r="R27" s="97" t="n">
        <f aca="true">TODAY()+1</f>
        <v>46301</v>
      </c>
      <c r="S27" s="97"/>
      <c r="T27" s="96"/>
      <c r="U27" s="99" t="n">
        <f aca="true">IF(A27="","",IF(AND(R27&lt;&gt;"",R27&lt;=TODAY()+30,P27="Yes",Q27="Yes",N27&lt;&gt;"Do Not Contact"),1,0))</f>
        <v>1</v>
      </c>
      <c r="V27" s="99" t="n">
        <f aca="false">IF(U27=1,COUNTIF($U$2:U27,1),"")</f>
        <v>8</v>
      </c>
      <c r="W27" s="0" t="str">
        <f aca="false">IF(A27="","",A27&amp;" | "&amp;C27)</f>
        <v>CAN-2026-00026 | Jason White</v>
      </c>
      <c r="X27" s="99" t="n">
        <f aca="true">IF(A27="","",IF(AND(R27&lt;&gt;"",P27="Yes",Q27="Yes",N27&lt;&gt;"Do Not Contact"),IF(INT(R27)=TODAY(),1,IF(INT(R27)=TODAY()+1,2,0)),0))</f>
        <v>2</v>
      </c>
      <c r="Y27" s="99" t="n">
        <f aca="false">IF(OR(X27=1,X27=2),COUNTIF($X$2:X27,1)+COUNTIF($X$2:X27,2),"")</f>
        <v>5</v>
      </c>
    </row>
    <row r="28" customFormat="false" ht="15" hidden="false" customHeight="false" outlineLevel="0" collapsed="false">
      <c r="A28" s="96" t="s">
        <v>394</v>
      </c>
      <c r="B28" s="97" t="n">
        <v>46210</v>
      </c>
      <c r="C28" s="96" t="s">
        <v>395</v>
      </c>
      <c r="D28" s="96" t="s">
        <v>396</v>
      </c>
      <c r="E28" s="96" t="s">
        <v>286</v>
      </c>
      <c r="F28" s="96" t="s">
        <v>195</v>
      </c>
      <c r="G28" s="96" t="s">
        <v>397</v>
      </c>
      <c r="H28" s="96" t="n">
        <v>8</v>
      </c>
      <c r="I28" s="98" t="n">
        <v>92000</v>
      </c>
      <c r="J28" s="96" t="s">
        <v>288</v>
      </c>
      <c r="K28" s="96" t="n">
        <v>30</v>
      </c>
      <c r="L28" s="96" t="s">
        <v>295</v>
      </c>
      <c r="M28" s="96" t="s">
        <v>184</v>
      </c>
      <c r="N28" s="96" t="s">
        <v>185</v>
      </c>
      <c r="O28" s="96" t="s">
        <v>327</v>
      </c>
      <c r="P28" s="96" t="s">
        <v>266</v>
      </c>
      <c r="Q28" s="96" t="s">
        <v>267</v>
      </c>
      <c r="R28" s="97"/>
      <c r="S28" s="97"/>
      <c r="T28" s="96"/>
      <c r="U28" s="99" t="n">
        <f aca="true">IF(A28="","",IF(AND(R28&lt;&gt;"",R28&lt;=TODAY()+30,P28="Yes",Q28="Yes",N28&lt;&gt;"Do Not Contact"),1,0))</f>
        <v>0</v>
      </c>
      <c r="V28" s="0" t="str">
        <f aca="false">IF(U28=1,COUNTIF($U$2:U28,1),"")</f>
        <v/>
      </c>
      <c r="W28" s="0" t="str">
        <f aca="false">IF(A28="","",A28&amp;" | "&amp;C28)</f>
        <v>CAN-2026-00027 | Amanda Thomas</v>
      </c>
      <c r="X28" s="99" t="n">
        <f aca="true">IF(A28="","",IF(AND(R28&lt;&gt;"",P28="Yes",Q28="Yes",N28&lt;&gt;"Do Not Contact"),IF(INT(R28)=TODAY(),1,IF(INT(R28)=TODAY()+1,2,0)),0))</f>
        <v>0</v>
      </c>
      <c r="Y28" s="0" t="str">
        <f aca="false">IF(OR(X28=1,X28=2),COUNTIF($X$2:X28,1)+COUNTIF($X$2:X28,2),"")</f>
        <v/>
      </c>
    </row>
    <row r="29" customFormat="false" ht="15" hidden="false" customHeight="false" outlineLevel="0" collapsed="false">
      <c r="A29" s="96" t="s">
        <v>398</v>
      </c>
      <c r="B29" s="97" t="n">
        <v>46217</v>
      </c>
      <c r="C29" s="96" t="s">
        <v>399</v>
      </c>
      <c r="D29" s="96" t="s">
        <v>400</v>
      </c>
      <c r="E29" s="96" t="s">
        <v>388</v>
      </c>
      <c r="F29" s="96" t="s">
        <v>186</v>
      </c>
      <c r="G29" s="96" t="s">
        <v>401</v>
      </c>
      <c r="H29" s="96" t="n">
        <v>6</v>
      </c>
      <c r="I29" s="98" t="n">
        <v>62000</v>
      </c>
      <c r="J29" s="96" t="s">
        <v>332</v>
      </c>
      <c r="K29" s="96" t="n">
        <v>0</v>
      </c>
      <c r="L29" s="96" t="s">
        <v>281</v>
      </c>
      <c r="M29" s="96" t="s">
        <v>194</v>
      </c>
      <c r="N29" s="96" t="s">
        <v>185</v>
      </c>
      <c r="O29" s="96" t="s">
        <v>265</v>
      </c>
      <c r="P29" s="96" t="s">
        <v>267</v>
      </c>
      <c r="Q29" s="96" t="s">
        <v>266</v>
      </c>
      <c r="R29" s="97"/>
      <c r="S29" s="97"/>
      <c r="T29" s="96"/>
      <c r="U29" s="99" t="n">
        <f aca="true">IF(A29="","",IF(AND(R29&lt;&gt;"",R29&lt;=TODAY()+30,P29="Yes",Q29="Yes",N29&lt;&gt;"Do Not Contact"),1,0))</f>
        <v>0</v>
      </c>
      <c r="V29" s="0" t="str">
        <f aca="false">IF(U29=1,COUNTIF($U$2:U29,1),"")</f>
        <v/>
      </c>
      <c r="W29" s="0" t="str">
        <f aca="false">IF(A29="","",A29&amp;" | "&amp;C29)</f>
        <v>CAN-2026-00028 | Daniel Brown</v>
      </c>
      <c r="X29" s="99" t="n">
        <f aca="true">IF(A29="","",IF(AND(R29&lt;&gt;"",P29="Yes",Q29="Yes",N29&lt;&gt;"Do Not Contact"),IF(INT(R29)=TODAY(),1,IF(INT(R29)=TODAY()+1,2,0)),0))</f>
        <v>0</v>
      </c>
      <c r="Y29" s="0" t="str">
        <f aca="false">IF(OR(X29=1,X29=2),COUNTIF($X$2:X29,1)+COUNTIF($X$2:X29,2),"")</f>
        <v/>
      </c>
    </row>
    <row r="30" customFormat="false" ht="15" hidden="false" customHeight="false" outlineLevel="0" collapsed="false">
      <c r="A30" s="96" t="s">
        <v>402</v>
      </c>
      <c r="B30" s="97" t="n">
        <v>46219</v>
      </c>
      <c r="C30" s="96" t="s">
        <v>403</v>
      </c>
      <c r="D30" s="96" t="s">
        <v>404</v>
      </c>
      <c r="E30" s="96" t="s">
        <v>301</v>
      </c>
      <c r="F30" s="96" t="s">
        <v>179</v>
      </c>
      <c r="G30" s="96" t="s">
        <v>405</v>
      </c>
      <c r="H30" s="96" t="n">
        <v>2</v>
      </c>
      <c r="I30" s="98" t="n">
        <v>112000</v>
      </c>
      <c r="J30" s="96" t="s">
        <v>263</v>
      </c>
      <c r="K30" s="96" t="n">
        <v>60</v>
      </c>
      <c r="L30" s="96" t="s">
        <v>308</v>
      </c>
      <c r="M30" s="96" t="s">
        <v>190</v>
      </c>
      <c r="N30" s="96" t="s">
        <v>185</v>
      </c>
      <c r="O30" s="96" t="s">
        <v>282</v>
      </c>
      <c r="P30" s="96" t="s">
        <v>267</v>
      </c>
      <c r="Q30" s="96" t="s">
        <v>266</v>
      </c>
      <c r="R30" s="97"/>
      <c r="S30" s="97"/>
      <c r="T30" s="96"/>
      <c r="U30" s="99" t="n">
        <f aca="true">IF(A30="","",IF(AND(R30&lt;&gt;"",R30&lt;=TODAY()+30,P30="Yes",Q30="Yes",N30&lt;&gt;"Do Not Contact"),1,0))</f>
        <v>0</v>
      </c>
      <c r="V30" s="0" t="str">
        <f aca="false">IF(U30=1,COUNTIF($U$2:U30,1),"")</f>
        <v/>
      </c>
      <c r="W30" s="0" t="str">
        <f aca="false">IF(A30="","",A30&amp;" | "&amp;C30)</f>
        <v>CAN-2026-00029 | Megan Garcia</v>
      </c>
      <c r="X30" s="99" t="n">
        <f aca="true">IF(A30="","",IF(AND(R30&lt;&gt;"",P30="Yes",Q30="Yes",N30&lt;&gt;"Do Not Contact"),IF(INT(R30)=TODAY(),1,IF(INT(R30)=TODAY()+1,2,0)),0))</f>
        <v>0</v>
      </c>
      <c r="Y30" s="0" t="str">
        <f aca="false">IF(OR(X30=1,X30=2),COUNTIF($X$2:X30,1)+COUNTIF($X$2:X30,2),"")</f>
        <v/>
      </c>
    </row>
    <row r="31" customFormat="false" ht="15" hidden="false" customHeight="false" outlineLevel="0" collapsed="false">
      <c r="A31" s="96" t="s">
        <v>406</v>
      </c>
      <c r="B31" s="97" t="n">
        <v>46219</v>
      </c>
      <c r="C31" s="96" t="s">
        <v>407</v>
      </c>
      <c r="D31" s="96" t="s">
        <v>408</v>
      </c>
      <c r="E31" s="96" t="s">
        <v>348</v>
      </c>
      <c r="F31" s="96" t="s">
        <v>183</v>
      </c>
      <c r="G31" s="96" t="s">
        <v>409</v>
      </c>
      <c r="H31" s="96" t="n">
        <v>5</v>
      </c>
      <c r="I31" s="98" t="n">
        <v>102000</v>
      </c>
      <c r="J31" s="96" t="s">
        <v>307</v>
      </c>
      <c r="K31" s="96" t="n">
        <v>30</v>
      </c>
      <c r="L31" s="96" t="s">
        <v>275</v>
      </c>
      <c r="M31" s="96" t="s">
        <v>192</v>
      </c>
      <c r="N31" s="96" t="s">
        <v>185</v>
      </c>
      <c r="O31" s="96" t="s">
        <v>276</v>
      </c>
      <c r="P31" s="96" t="s">
        <v>266</v>
      </c>
      <c r="Q31" s="96" t="s">
        <v>267</v>
      </c>
      <c r="R31" s="97"/>
      <c r="S31" s="97"/>
      <c r="T31" s="96"/>
      <c r="U31" s="99" t="n">
        <f aca="true">IF(A31="","",IF(AND(R31&lt;&gt;"",R31&lt;=TODAY()+30,P31="Yes",Q31="Yes",N31&lt;&gt;"Do Not Contact"),1,0))</f>
        <v>0</v>
      </c>
      <c r="V31" s="0" t="str">
        <f aca="false">IF(U31=1,COUNTIF($U$2:U31,1),"")</f>
        <v/>
      </c>
      <c r="W31" s="0" t="str">
        <f aca="false">IF(A31="","",A31&amp;" | "&amp;C31)</f>
        <v>CAN-2026-00030 | Christopher Davis</v>
      </c>
      <c r="X31" s="99" t="n">
        <f aca="true">IF(A31="","",IF(AND(R31&lt;&gt;"",P31="Yes",Q31="Yes",N31&lt;&gt;"Do Not Contact"),IF(INT(R31)=TODAY(),1,IF(INT(R31)=TODAY()+1,2,0)),0))</f>
        <v>0</v>
      </c>
      <c r="Y31" s="0" t="str">
        <f aca="false">IF(OR(X31=1,X31=2),COUNTIF($X$2:X31,1)+COUNTIF($X$2:X31,2),"")</f>
        <v/>
      </c>
    </row>
    <row r="32" customFormat="false" ht="15" hidden="false" customHeight="false" outlineLevel="0" collapsed="false">
      <c r="A32" s="96" t="s">
        <v>410</v>
      </c>
      <c r="B32" s="97" t="n">
        <v>46225</v>
      </c>
      <c r="C32" s="96" t="s">
        <v>411</v>
      </c>
      <c r="D32" s="96" t="s">
        <v>412</v>
      </c>
      <c r="E32" s="96" t="s">
        <v>325</v>
      </c>
      <c r="F32" s="96" t="s">
        <v>191</v>
      </c>
      <c r="G32" s="96" t="s">
        <v>413</v>
      </c>
      <c r="H32" s="96" t="n">
        <v>8</v>
      </c>
      <c r="I32" s="98" t="n">
        <v>81000</v>
      </c>
      <c r="J32" s="96" t="s">
        <v>263</v>
      </c>
      <c r="K32" s="96" t="n">
        <v>45</v>
      </c>
      <c r="L32" s="96" t="s">
        <v>295</v>
      </c>
      <c r="M32" s="96" t="s">
        <v>181</v>
      </c>
      <c r="N32" s="96" t="s">
        <v>178</v>
      </c>
      <c r="O32" s="96" t="s">
        <v>313</v>
      </c>
      <c r="P32" s="96" t="s">
        <v>266</v>
      </c>
      <c r="Q32" s="96" t="s">
        <v>266</v>
      </c>
      <c r="R32" s="97" t="n">
        <f aca="true">TODAY()-2</f>
        <v>46298</v>
      </c>
      <c r="S32" s="97"/>
      <c r="T32" s="96"/>
      <c r="U32" s="99" t="n">
        <f aca="true">IF(A32="","",IF(AND(R32&lt;&gt;"",R32&lt;=TODAY()+30,P32="Yes",Q32="Yes",N32&lt;&gt;"Do Not Contact"),1,0))</f>
        <v>1</v>
      </c>
      <c r="V32" s="99" t="n">
        <f aca="false">IF(U32=1,COUNTIF($U$2:U32,1),"")</f>
        <v>9</v>
      </c>
      <c r="W32" s="0" t="str">
        <f aca="false">IF(A32="","",A32&amp;" | "&amp;C32)</f>
        <v>CAN-2026-00031 | Kevin Taylor</v>
      </c>
      <c r="X32" s="99" t="n">
        <f aca="true">IF(A32="","",IF(AND(R32&lt;&gt;"",P32="Yes",Q32="Yes",N32&lt;&gt;"Do Not Contact"),IF(INT(R32)=TODAY(),1,IF(INT(R32)=TODAY()+1,2,0)),0))</f>
        <v>0</v>
      </c>
      <c r="Y32" s="0" t="str">
        <f aca="false">IF(OR(X32=1,X32=2),COUNTIF($X$2:X32,1)+COUNTIF($X$2:X32,2),"")</f>
        <v/>
      </c>
    </row>
    <row r="33" customFormat="false" ht="15" hidden="false" customHeight="false" outlineLevel="0" collapsed="false">
      <c r="A33" s="96" t="s">
        <v>414</v>
      </c>
      <c r="B33" s="97" t="n">
        <v>46227</v>
      </c>
      <c r="C33" s="96" t="s">
        <v>415</v>
      </c>
      <c r="D33" s="96" t="s">
        <v>416</v>
      </c>
      <c r="E33" s="96" t="s">
        <v>272</v>
      </c>
      <c r="F33" s="96" t="s">
        <v>189</v>
      </c>
      <c r="G33" s="96" t="s">
        <v>417</v>
      </c>
      <c r="H33" s="96" t="n">
        <v>4</v>
      </c>
      <c r="I33" s="98" t="n">
        <v>79000</v>
      </c>
      <c r="J33" s="96" t="s">
        <v>294</v>
      </c>
      <c r="K33" s="96" t="n">
        <v>45</v>
      </c>
      <c r="L33" s="96" t="s">
        <v>295</v>
      </c>
      <c r="M33" s="96" t="s">
        <v>190</v>
      </c>
      <c r="N33" s="96" t="s">
        <v>185</v>
      </c>
      <c r="O33" s="96" t="s">
        <v>282</v>
      </c>
      <c r="P33" s="96" t="s">
        <v>266</v>
      </c>
      <c r="Q33" s="96" t="s">
        <v>266</v>
      </c>
      <c r="R33" s="97"/>
      <c r="S33" s="97"/>
      <c r="T33" s="96"/>
      <c r="U33" s="99" t="n">
        <f aca="true">IF(A33="","",IF(AND(R33&lt;&gt;"",R33&lt;=TODAY()+30,P33="Yes",Q33="Yes",N33&lt;&gt;"Do Not Contact"),1,0))</f>
        <v>0</v>
      </c>
      <c r="V33" s="0" t="str">
        <f aca="false">IF(U33=1,COUNTIF($U$2:U33,1),"")</f>
        <v/>
      </c>
      <c r="W33" s="0" t="str">
        <f aca="false">IF(A33="","",A33&amp;" | "&amp;C33)</f>
        <v>CAN-2026-00032 | Ashley Taylor</v>
      </c>
      <c r="X33" s="99" t="n">
        <f aca="true">IF(A33="","",IF(AND(R33&lt;&gt;"",P33="Yes",Q33="Yes",N33&lt;&gt;"Do Not Contact"),IF(INT(R33)=TODAY(),1,IF(INT(R33)=TODAY()+1,2,0)),0))</f>
        <v>0</v>
      </c>
      <c r="Y33" s="0" t="str">
        <f aca="false">IF(OR(X33=1,X33=2),COUNTIF($X$2:X33,1)+COUNTIF($X$2:X33,2),"")</f>
        <v/>
      </c>
    </row>
    <row r="34" customFormat="false" ht="15" hidden="false" customHeight="false" outlineLevel="0" collapsed="false">
      <c r="A34" s="96" t="s">
        <v>418</v>
      </c>
      <c r="B34" s="97" t="n">
        <v>46233</v>
      </c>
      <c r="C34" s="96" t="s">
        <v>419</v>
      </c>
      <c r="D34" s="96" t="s">
        <v>420</v>
      </c>
      <c r="E34" s="96" t="s">
        <v>348</v>
      </c>
      <c r="F34" s="96" t="s">
        <v>183</v>
      </c>
      <c r="G34" s="96" t="s">
        <v>421</v>
      </c>
      <c r="H34" s="96" t="n">
        <v>8</v>
      </c>
      <c r="I34" s="98" t="n">
        <v>95000</v>
      </c>
      <c r="J34" s="96" t="s">
        <v>274</v>
      </c>
      <c r="K34" s="96" t="n">
        <v>60</v>
      </c>
      <c r="L34" s="96" t="s">
        <v>308</v>
      </c>
      <c r="M34" s="96" t="s">
        <v>181</v>
      </c>
      <c r="N34" s="96" t="s">
        <v>185</v>
      </c>
      <c r="O34" s="96" t="s">
        <v>313</v>
      </c>
      <c r="P34" s="96" t="s">
        <v>266</v>
      </c>
      <c r="Q34" s="96" t="s">
        <v>267</v>
      </c>
      <c r="R34" s="97"/>
      <c r="S34" s="97"/>
      <c r="T34" s="96"/>
      <c r="U34" s="99" t="n">
        <f aca="true">IF(A34="","",IF(AND(R34&lt;&gt;"",R34&lt;=TODAY()+30,P34="Yes",Q34="Yes",N34&lt;&gt;"Do Not Contact"),1,0))</f>
        <v>0</v>
      </c>
      <c r="V34" s="0" t="str">
        <f aca="false">IF(U34=1,COUNTIF($U$2:U34,1),"")</f>
        <v/>
      </c>
      <c r="W34" s="0" t="str">
        <f aca="false">IF(A34="","",A34&amp;" | "&amp;C34)</f>
        <v>CAN-2026-00033 | Tyler White</v>
      </c>
      <c r="X34" s="99" t="n">
        <f aca="true">IF(A34="","",IF(AND(R34&lt;&gt;"",P34="Yes",Q34="Yes",N34&lt;&gt;"Do Not Contact"),IF(INT(R34)=TODAY(),1,IF(INT(R34)=TODAY()+1,2,0)),0))</f>
        <v>0</v>
      </c>
      <c r="Y34" s="0" t="str">
        <f aca="false">IF(OR(X34=1,X34=2),COUNTIF($X$2:X34,1)+COUNTIF($X$2:X34,2),"")</f>
        <v/>
      </c>
    </row>
    <row r="35" customFormat="false" ht="15" hidden="false" customHeight="false" outlineLevel="0" collapsed="false">
      <c r="A35" s="96" t="s">
        <v>422</v>
      </c>
      <c r="B35" s="97" t="n">
        <v>46236</v>
      </c>
      <c r="C35" s="96" t="s">
        <v>423</v>
      </c>
      <c r="D35" s="96" t="s">
        <v>424</v>
      </c>
      <c r="E35" s="96" t="s">
        <v>348</v>
      </c>
      <c r="F35" s="96" t="s">
        <v>183</v>
      </c>
      <c r="G35" s="96" t="s">
        <v>425</v>
      </c>
      <c r="H35" s="96" t="n">
        <v>8</v>
      </c>
      <c r="I35" s="98" t="n">
        <v>72000</v>
      </c>
      <c r="J35" s="96" t="s">
        <v>288</v>
      </c>
      <c r="K35" s="96" t="n">
        <v>60</v>
      </c>
      <c r="L35" s="96" t="s">
        <v>295</v>
      </c>
      <c r="M35" s="96" t="s">
        <v>192</v>
      </c>
      <c r="N35" s="96" t="s">
        <v>178</v>
      </c>
      <c r="O35" s="96" t="s">
        <v>276</v>
      </c>
      <c r="P35" s="96" t="s">
        <v>266</v>
      </c>
      <c r="Q35" s="96" t="s">
        <v>266</v>
      </c>
      <c r="R35" s="97" t="n">
        <v>46326</v>
      </c>
      <c r="S35" s="97"/>
      <c r="T35" s="96"/>
      <c r="U35" s="99" t="n">
        <f aca="true">IF(A35="","",IF(AND(R35&lt;&gt;"",R35&lt;=TODAY()+30,P35="Yes",Q35="Yes",N35&lt;&gt;"Do Not Contact"),1,0))</f>
        <v>1</v>
      </c>
      <c r="V35" s="99" t="n">
        <f aca="false">IF(U35=1,COUNTIF($U$2:U35,1),"")</f>
        <v>10</v>
      </c>
      <c r="W35" s="0" t="str">
        <f aca="false">IF(A35="","",A35&amp;" | "&amp;C35)</f>
        <v>CAN-2026-00034 | Nicole Miller</v>
      </c>
      <c r="X35" s="99" t="n">
        <f aca="true">IF(A35="","",IF(AND(R35&lt;&gt;"",P35="Yes",Q35="Yes",N35&lt;&gt;"Do Not Contact"),IF(INT(R35)=TODAY(),1,IF(INT(R35)=TODAY()+1,2,0)),0))</f>
        <v>0</v>
      </c>
      <c r="Y35" s="0" t="str">
        <f aca="false">IF(OR(X35=1,X35=2),COUNTIF($X$2:X35,1)+COUNTIF($X$2:X35,2),"")</f>
        <v/>
      </c>
    </row>
    <row r="36" customFormat="false" ht="15" hidden="false" customHeight="false" outlineLevel="0" collapsed="false">
      <c r="A36" s="96" t="s">
        <v>426</v>
      </c>
      <c r="B36" s="97" t="n">
        <v>46243</v>
      </c>
      <c r="C36" s="96" t="s">
        <v>427</v>
      </c>
      <c r="D36" s="96" t="s">
        <v>428</v>
      </c>
      <c r="E36" s="96" t="s">
        <v>286</v>
      </c>
      <c r="F36" s="96" t="s">
        <v>195</v>
      </c>
      <c r="G36" s="96" t="s">
        <v>429</v>
      </c>
      <c r="H36" s="96" t="n">
        <v>4</v>
      </c>
      <c r="I36" s="98" t="n">
        <v>75000</v>
      </c>
      <c r="J36" s="96" t="s">
        <v>274</v>
      </c>
      <c r="K36" s="96" t="n">
        <v>45</v>
      </c>
      <c r="L36" s="96" t="s">
        <v>295</v>
      </c>
      <c r="M36" s="96" t="s">
        <v>190</v>
      </c>
      <c r="N36" s="96" t="s">
        <v>185</v>
      </c>
      <c r="O36" s="96" t="s">
        <v>282</v>
      </c>
      <c r="P36" s="96" t="s">
        <v>267</v>
      </c>
      <c r="Q36" s="96" t="s">
        <v>266</v>
      </c>
      <c r="R36" s="97"/>
      <c r="S36" s="97"/>
      <c r="T36" s="96"/>
      <c r="U36" s="99" t="n">
        <f aca="true">IF(A36="","",IF(AND(R36&lt;&gt;"",R36&lt;=TODAY()+30,P36="Yes",Q36="Yes",N36&lt;&gt;"Do Not Contact"),1,0))</f>
        <v>0</v>
      </c>
      <c r="V36" s="0" t="str">
        <f aca="false">IF(U36=1,COUNTIF($U$2:U36,1),"")</f>
        <v/>
      </c>
      <c r="W36" s="0" t="str">
        <f aca="false">IF(A36="","",A36&amp;" | "&amp;C36)</f>
        <v>CAN-2026-00035 | Rachel Taylor</v>
      </c>
      <c r="X36" s="99" t="n">
        <f aca="true">IF(A36="","",IF(AND(R36&lt;&gt;"",P36="Yes",Q36="Yes",N36&lt;&gt;"Do Not Contact"),IF(INT(R36)=TODAY(),1,IF(INT(R36)=TODAY()+1,2,0)),0))</f>
        <v>0</v>
      </c>
      <c r="Y36" s="0" t="str">
        <f aca="false">IF(OR(X36=1,X36=2),COUNTIF($X$2:X36,1)+COUNTIF($X$2:X36,2),"")</f>
        <v/>
      </c>
    </row>
    <row r="37" customFormat="false" ht="15" hidden="false" customHeight="false" outlineLevel="0" collapsed="false">
      <c r="A37" s="96" t="s">
        <v>430</v>
      </c>
      <c r="B37" s="97" t="n">
        <v>46244</v>
      </c>
      <c r="C37" s="96" t="s">
        <v>431</v>
      </c>
      <c r="D37" s="96" t="s">
        <v>432</v>
      </c>
      <c r="E37" s="96" t="s">
        <v>363</v>
      </c>
      <c r="F37" s="96" t="s">
        <v>195</v>
      </c>
      <c r="G37" s="96" t="s">
        <v>433</v>
      </c>
      <c r="H37" s="96" t="n">
        <v>7</v>
      </c>
      <c r="I37" s="98" t="n">
        <v>155000</v>
      </c>
      <c r="J37" s="96" t="s">
        <v>263</v>
      </c>
      <c r="K37" s="96" t="n">
        <v>14</v>
      </c>
      <c r="L37" s="96" t="s">
        <v>264</v>
      </c>
      <c r="M37" s="96" t="s">
        <v>184</v>
      </c>
      <c r="N37" s="96" t="s">
        <v>182</v>
      </c>
      <c r="O37" s="96" t="s">
        <v>327</v>
      </c>
      <c r="P37" s="96" t="s">
        <v>266</v>
      </c>
      <c r="Q37" s="96" t="s">
        <v>266</v>
      </c>
      <c r="R37" s="97" t="n">
        <v>46297</v>
      </c>
      <c r="S37" s="97"/>
      <c r="T37" s="96"/>
      <c r="U37" s="99" t="n">
        <f aca="true">IF(A37="","",IF(AND(R37&lt;&gt;"",R37&lt;=TODAY()+30,P37="Yes",Q37="Yes",N37&lt;&gt;"Do Not Contact"),1,0))</f>
        <v>1</v>
      </c>
      <c r="V37" s="99" t="n">
        <f aca="false">IF(U37=1,COUNTIF($U$2:U37,1),"")</f>
        <v>11</v>
      </c>
      <c r="W37" s="0" t="str">
        <f aca="false">IF(A37="","",A37&amp;" | "&amp;C37)</f>
        <v>CAN-2026-00036 | Christopher Thompson</v>
      </c>
      <c r="X37" s="99" t="n">
        <f aca="true">IF(A37="","",IF(AND(R37&lt;&gt;"",P37="Yes",Q37="Yes",N37&lt;&gt;"Do Not Contact"),IF(INT(R37)=TODAY(),1,IF(INT(R37)=TODAY()+1,2,0)),0))</f>
        <v>0</v>
      </c>
      <c r="Y37" s="0" t="str">
        <f aca="false">IF(OR(X37=1,X37=2),COUNTIF($X$2:X37,1)+COUNTIF($X$2:X37,2),"")</f>
        <v/>
      </c>
    </row>
    <row r="38" customFormat="false" ht="15" hidden="false" customHeight="false" outlineLevel="0" collapsed="false">
      <c r="A38" s="96" t="s">
        <v>434</v>
      </c>
      <c r="B38" s="97" t="n">
        <v>46247</v>
      </c>
      <c r="C38" s="96" t="s">
        <v>435</v>
      </c>
      <c r="D38" s="96" t="s">
        <v>436</v>
      </c>
      <c r="E38" s="96" t="s">
        <v>348</v>
      </c>
      <c r="F38" s="96" t="s">
        <v>183</v>
      </c>
      <c r="G38" s="96" t="s">
        <v>437</v>
      </c>
      <c r="H38" s="96" t="n">
        <v>5</v>
      </c>
      <c r="I38" s="98" t="n">
        <v>101000</v>
      </c>
      <c r="J38" s="96" t="s">
        <v>294</v>
      </c>
      <c r="K38" s="96" t="n">
        <v>30</v>
      </c>
      <c r="L38" s="96" t="s">
        <v>281</v>
      </c>
      <c r="M38" s="96" t="s">
        <v>192</v>
      </c>
      <c r="N38" s="96" t="s">
        <v>182</v>
      </c>
      <c r="O38" s="96" t="s">
        <v>276</v>
      </c>
      <c r="P38" s="96" t="s">
        <v>266</v>
      </c>
      <c r="Q38" s="96" t="s">
        <v>266</v>
      </c>
      <c r="R38" s="97" t="n">
        <f aca="true">TODAY()+7</f>
        <v>46307</v>
      </c>
      <c r="S38" s="97"/>
      <c r="T38" s="96"/>
      <c r="U38" s="99" t="n">
        <f aca="true">IF(A38="","",IF(AND(R38&lt;&gt;"",R38&lt;=TODAY()+30,P38="Yes",Q38="Yes",N38&lt;&gt;"Do Not Contact"),1,0))</f>
        <v>1</v>
      </c>
      <c r="V38" s="99" t="n">
        <f aca="false">IF(U38=1,COUNTIF($U$2:U38,1),"")</f>
        <v>12</v>
      </c>
      <c r="W38" s="0" t="str">
        <f aca="false">IF(A38="","",A38&amp;" | "&amp;C38)</f>
        <v>CAN-2026-00037 | Ashley Miller</v>
      </c>
      <c r="X38" s="99" t="n">
        <f aca="true">IF(A38="","",IF(AND(R38&lt;&gt;"",P38="Yes",Q38="Yes",N38&lt;&gt;"Do Not Contact"),IF(INT(R38)=TODAY(),1,IF(INT(R38)=TODAY()+1,2,0)),0))</f>
        <v>0</v>
      </c>
      <c r="Y38" s="0" t="str">
        <f aca="false">IF(OR(X38=1,X38=2),COUNTIF($X$2:X38,1)+COUNTIF($X$2:X38,2),"")</f>
        <v/>
      </c>
    </row>
    <row r="39" customFormat="false" ht="15" hidden="false" customHeight="false" outlineLevel="0" collapsed="false">
      <c r="A39" s="96" t="s">
        <v>438</v>
      </c>
      <c r="B39" s="97" t="n">
        <v>46258</v>
      </c>
      <c r="C39" s="96" t="s">
        <v>439</v>
      </c>
      <c r="D39" s="96" t="s">
        <v>440</v>
      </c>
      <c r="E39" s="96" t="s">
        <v>388</v>
      </c>
      <c r="F39" s="96" t="s">
        <v>186</v>
      </c>
      <c r="G39" s="96" t="s">
        <v>441</v>
      </c>
      <c r="H39" s="96" t="n">
        <v>9</v>
      </c>
      <c r="I39" s="98" t="n">
        <v>85000</v>
      </c>
      <c r="J39" s="96" t="s">
        <v>294</v>
      </c>
      <c r="K39" s="96" t="n">
        <v>0</v>
      </c>
      <c r="L39" s="96" t="s">
        <v>295</v>
      </c>
      <c r="M39" s="96" t="s">
        <v>192</v>
      </c>
      <c r="N39" s="96" t="s">
        <v>185</v>
      </c>
      <c r="O39" s="96" t="s">
        <v>442</v>
      </c>
      <c r="P39" s="96" t="s">
        <v>266</v>
      </c>
      <c r="Q39" s="96" t="s">
        <v>266</v>
      </c>
      <c r="R39" s="97"/>
      <c r="S39" s="97"/>
      <c r="T39" s="96"/>
      <c r="U39" s="99" t="n">
        <f aca="true">IF(A39="","",IF(AND(R39&lt;&gt;"",R39&lt;=TODAY()+30,P39="Yes",Q39="Yes",N39&lt;&gt;"Do Not Contact"),1,0))</f>
        <v>0</v>
      </c>
      <c r="V39" s="0" t="str">
        <f aca="false">IF(U39=1,COUNTIF($U$2:U39,1),"")</f>
        <v/>
      </c>
      <c r="W39" s="0" t="str">
        <f aca="false">IF(A39="","",A39&amp;" | "&amp;C39)</f>
        <v>CAN-2026-00038 | Emily Martinez</v>
      </c>
      <c r="X39" s="99" t="n">
        <f aca="true">IF(A39="","",IF(AND(R39&lt;&gt;"",P39="Yes",Q39="Yes",N39&lt;&gt;"Do Not Contact"),IF(INT(R39)=TODAY(),1,IF(INT(R39)=TODAY()+1,2,0)),0))</f>
        <v>0</v>
      </c>
      <c r="Y39" s="0" t="str">
        <f aca="false">IF(OR(X39=1,X39=2),COUNTIF($X$2:X39,1)+COUNTIF($X$2:X39,2),"")</f>
        <v/>
      </c>
    </row>
    <row r="40" customFormat="false" ht="15" hidden="false" customHeight="false" outlineLevel="0" collapsed="false">
      <c r="A40" s="96" t="s">
        <v>443</v>
      </c>
      <c r="B40" s="97" t="n">
        <v>46259</v>
      </c>
      <c r="C40" s="96" t="s">
        <v>444</v>
      </c>
      <c r="D40" s="96" t="s">
        <v>445</v>
      </c>
      <c r="E40" s="96" t="s">
        <v>301</v>
      </c>
      <c r="F40" s="96" t="s">
        <v>179</v>
      </c>
      <c r="G40" s="96" t="s">
        <v>446</v>
      </c>
      <c r="H40" s="96" t="n">
        <v>4</v>
      </c>
      <c r="I40" s="98" t="n">
        <v>88000</v>
      </c>
      <c r="J40" s="96" t="s">
        <v>263</v>
      </c>
      <c r="K40" s="96" t="n">
        <v>14</v>
      </c>
      <c r="L40" s="96" t="s">
        <v>308</v>
      </c>
      <c r="M40" s="96" t="s">
        <v>192</v>
      </c>
      <c r="N40" s="96" t="s">
        <v>182</v>
      </c>
      <c r="O40" s="96" t="s">
        <v>359</v>
      </c>
      <c r="P40" s="96" t="s">
        <v>266</v>
      </c>
      <c r="Q40" s="96" t="s">
        <v>266</v>
      </c>
      <c r="R40" s="97" t="n">
        <v>46362</v>
      </c>
      <c r="S40" s="97"/>
      <c r="T40" s="96"/>
      <c r="U40" s="99" t="n">
        <f aca="true">IF(A40="","",IF(AND(R40&lt;&gt;"",R40&lt;=TODAY()+30,P40="Yes",Q40="Yes",N40&lt;&gt;"Do Not Contact"),1,0))</f>
        <v>0</v>
      </c>
      <c r="V40" s="0" t="str">
        <f aca="false">IF(U40=1,COUNTIF($U$2:U40,1),"")</f>
        <v/>
      </c>
      <c r="W40" s="0" t="str">
        <f aca="false">IF(A40="","",A40&amp;" | "&amp;C40)</f>
        <v>CAN-2026-00039 | Kevin Miller</v>
      </c>
      <c r="X40" s="99" t="n">
        <f aca="true">IF(A40="","",IF(AND(R40&lt;&gt;"",P40="Yes",Q40="Yes",N40&lt;&gt;"Do Not Contact"),IF(INT(R40)=TODAY(),1,IF(INT(R40)=TODAY()+1,2,0)),0))</f>
        <v>0</v>
      </c>
      <c r="Y40" s="0" t="str">
        <f aca="false">IF(OR(X40=1,X40=2),COUNTIF($X$2:X40,1)+COUNTIF($X$2:X40,2),"")</f>
        <v/>
      </c>
    </row>
    <row r="41" customFormat="false" ht="15" hidden="false" customHeight="false" outlineLevel="0" collapsed="false">
      <c r="A41" s="96" t="s">
        <v>447</v>
      </c>
      <c r="B41" s="97" t="n">
        <v>46266</v>
      </c>
      <c r="C41" s="96" t="s">
        <v>448</v>
      </c>
      <c r="D41" s="96" t="s">
        <v>449</v>
      </c>
      <c r="E41" s="96" t="s">
        <v>388</v>
      </c>
      <c r="F41" s="96" t="s">
        <v>186</v>
      </c>
      <c r="G41" s="96" t="s">
        <v>450</v>
      </c>
      <c r="H41" s="96" t="n">
        <v>1</v>
      </c>
      <c r="I41" s="98" t="n">
        <v>67000</v>
      </c>
      <c r="J41" s="96" t="s">
        <v>288</v>
      </c>
      <c r="K41" s="96" t="n">
        <v>60</v>
      </c>
      <c r="L41" s="96" t="s">
        <v>264</v>
      </c>
      <c r="M41" s="96" t="s">
        <v>192</v>
      </c>
      <c r="N41" s="96" t="s">
        <v>178</v>
      </c>
      <c r="O41" s="96" t="s">
        <v>276</v>
      </c>
      <c r="P41" s="96" t="s">
        <v>266</v>
      </c>
      <c r="Q41" s="96" t="s">
        <v>266</v>
      </c>
      <c r="R41" s="97" t="n">
        <v>46326</v>
      </c>
      <c r="S41" s="97"/>
      <c r="T41" s="96"/>
      <c r="U41" s="99" t="n">
        <f aca="true">IF(A41="","",IF(AND(R41&lt;&gt;"",R41&lt;=TODAY()+30,P41="Yes",Q41="Yes",N41&lt;&gt;"Do Not Contact"),1,0))</f>
        <v>1</v>
      </c>
      <c r="V41" s="99" t="n">
        <f aca="false">IF(U41=1,COUNTIF($U$2:U41,1),"")</f>
        <v>13</v>
      </c>
      <c r="W41" s="0" t="str">
        <f aca="false">IF(A41="","",A41&amp;" | "&amp;C41)</f>
        <v>CAN-2026-00040 | Megan Martinez</v>
      </c>
      <c r="X41" s="99" t="n">
        <f aca="true">IF(A41="","",IF(AND(R41&lt;&gt;"",P41="Yes",Q41="Yes",N41&lt;&gt;"Do Not Contact"),IF(INT(R41)=TODAY(),1,IF(INT(R41)=TODAY()+1,2,0)),0))</f>
        <v>0</v>
      </c>
      <c r="Y41" s="0" t="str">
        <f aca="false">IF(OR(X41=1,X41=2),COUNTIF($X$2:X41,1)+COUNTIF($X$2:X41,2),"")</f>
        <v/>
      </c>
    </row>
    <row r="42" customFormat="false" ht="15" hidden="false" customHeight="false" outlineLevel="0" collapsed="false">
      <c r="A42" s="96"/>
      <c r="B42" s="97"/>
      <c r="C42" s="96"/>
      <c r="D42" s="96"/>
      <c r="E42" s="96"/>
      <c r="F42" s="96"/>
      <c r="G42" s="96"/>
      <c r="H42" s="96"/>
      <c r="I42" s="98"/>
      <c r="J42" s="96"/>
      <c r="K42" s="96"/>
      <c r="L42" s="96"/>
      <c r="M42" s="96"/>
      <c r="N42" s="96"/>
      <c r="O42" s="96"/>
      <c r="P42" s="96"/>
      <c r="Q42" s="96"/>
      <c r="R42" s="97"/>
      <c r="S42" s="97"/>
      <c r="T42" s="96"/>
      <c r="U42" s="0" t="str">
        <f aca="true">IF(A42="","",IF(AND(R42&lt;&gt;"",R42&lt;=TODAY()+30,P42="Yes",Q42="Yes",N42&lt;&gt;"Do Not Contact"),1,0))</f>
        <v/>
      </c>
      <c r="V42" s="0" t="str">
        <f aca="false">IF(U42=1,COUNTIF($U$2:U42,1),"")</f>
        <v/>
      </c>
      <c r="W42" s="0" t="str">
        <f aca="false">IF(A42="","",A42&amp;" | "&amp;C42)</f>
        <v/>
      </c>
      <c r="X42" s="0" t="str">
        <f aca="true">IF(A42="","",IF(AND(R42&lt;&gt;"",P42="Yes",Q42="Yes",N42&lt;&gt;"Do Not Contact"),IF(INT(R42)=TODAY(),1,IF(INT(R42)=TODAY()+1,2,0)),0))</f>
        <v/>
      </c>
      <c r="Y42" s="0" t="str">
        <f aca="false">IF(OR(X42=1,X42=2),COUNTIF($X$2:X42,1)+COUNTIF($X$2:X42,2),"")</f>
        <v/>
      </c>
    </row>
    <row r="43" customFormat="false" ht="15" hidden="false" customHeight="false" outlineLevel="0" collapsed="false">
      <c r="A43" s="96"/>
      <c r="B43" s="97"/>
      <c r="C43" s="96"/>
      <c r="D43" s="96"/>
      <c r="E43" s="96"/>
      <c r="F43" s="96"/>
      <c r="G43" s="96"/>
      <c r="H43" s="96"/>
      <c r="I43" s="98"/>
      <c r="J43" s="96"/>
      <c r="K43" s="96"/>
      <c r="L43" s="96"/>
      <c r="M43" s="96"/>
      <c r="N43" s="96"/>
      <c r="O43" s="96"/>
      <c r="P43" s="96"/>
      <c r="Q43" s="96"/>
      <c r="R43" s="97"/>
      <c r="S43" s="97"/>
      <c r="T43" s="96"/>
      <c r="U43" s="0" t="str">
        <f aca="true">IF(A43="","",IF(AND(R43&lt;&gt;"",R43&lt;=TODAY()+30,P43="Yes",Q43="Yes",N43&lt;&gt;"Do Not Contact"),1,0))</f>
        <v/>
      </c>
      <c r="V43" s="0" t="str">
        <f aca="false">IF(U43=1,COUNTIF($U$2:U43,1),"")</f>
        <v/>
      </c>
      <c r="W43" s="0" t="str">
        <f aca="false">IF(A43="","",A43&amp;" | "&amp;C43)</f>
        <v/>
      </c>
      <c r="X43" s="0" t="str">
        <f aca="true">IF(A43="","",IF(AND(R43&lt;&gt;"",P43="Yes",Q43="Yes",N43&lt;&gt;"Do Not Contact"),IF(INT(R43)=TODAY(),1,IF(INT(R43)=TODAY()+1,2,0)),0))</f>
        <v/>
      </c>
      <c r="Y43" s="0" t="str">
        <f aca="false">IF(OR(X43=1,X43=2),COUNTIF($X$2:X43,1)+COUNTIF($X$2:X43,2),"")</f>
        <v/>
      </c>
    </row>
    <row r="44" customFormat="false" ht="15" hidden="false" customHeight="false" outlineLevel="0" collapsed="false">
      <c r="A44" s="96"/>
      <c r="B44" s="97"/>
      <c r="C44" s="96"/>
      <c r="D44" s="96"/>
      <c r="E44" s="96"/>
      <c r="F44" s="96"/>
      <c r="G44" s="96"/>
      <c r="H44" s="96"/>
      <c r="I44" s="98"/>
      <c r="J44" s="96"/>
      <c r="K44" s="96"/>
      <c r="L44" s="96"/>
      <c r="M44" s="96"/>
      <c r="N44" s="96"/>
      <c r="O44" s="96"/>
      <c r="P44" s="96"/>
      <c r="Q44" s="96"/>
      <c r="R44" s="97"/>
      <c r="S44" s="97"/>
      <c r="T44" s="96"/>
      <c r="U44" s="0" t="str">
        <f aca="true">IF(A44="","",IF(AND(R44&lt;&gt;"",R44&lt;=TODAY()+30,P44="Yes",Q44="Yes",N44&lt;&gt;"Do Not Contact"),1,0))</f>
        <v/>
      </c>
      <c r="V44" s="0" t="str">
        <f aca="false">IF(U44=1,COUNTIF($U$2:U44,1),"")</f>
        <v/>
      </c>
      <c r="W44" s="0" t="str">
        <f aca="false">IF(A44="","",A44&amp;" | "&amp;C44)</f>
        <v/>
      </c>
      <c r="X44" s="0" t="str">
        <f aca="true">IF(A44="","",IF(AND(R44&lt;&gt;"",P44="Yes",Q44="Yes",N44&lt;&gt;"Do Not Contact"),IF(INT(R44)=TODAY(),1,IF(INT(R44)=TODAY()+1,2,0)),0))</f>
        <v/>
      </c>
      <c r="Y44" s="0" t="str">
        <f aca="false">IF(OR(X44=1,X44=2),COUNTIF($X$2:X44,1)+COUNTIF($X$2:X44,2),"")</f>
        <v/>
      </c>
    </row>
    <row r="45" customFormat="false" ht="15" hidden="false" customHeight="false" outlineLevel="0" collapsed="false">
      <c r="A45" s="96"/>
      <c r="B45" s="97"/>
      <c r="C45" s="96"/>
      <c r="D45" s="96"/>
      <c r="E45" s="96"/>
      <c r="F45" s="96"/>
      <c r="G45" s="96"/>
      <c r="H45" s="96"/>
      <c r="I45" s="98"/>
      <c r="J45" s="96"/>
      <c r="K45" s="96"/>
      <c r="L45" s="96"/>
      <c r="M45" s="96"/>
      <c r="N45" s="96"/>
      <c r="O45" s="96"/>
      <c r="P45" s="96"/>
      <c r="Q45" s="96"/>
      <c r="R45" s="97"/>
      <c r="S45" s="97"/>
      <c r="T45" s="96"/>
      <c r="U45" s="0" t="str">
        <f aca="true">IF(A45="","",IF(AND(R45&lt;&gt;"",R45&lt;=TODAY()+30,P45="Yes",Q45="Yes",N45&lt;&gt;"Do Not Contact"),1,0))</f>
        <v/>
      </c>
      <c r="V45" s="0" t="str">
        <f aca="false">IF(U45=1,COUNTIF($U$2:U45,1),"")</f>
        <v/>
      </c>
      <c r="W45" s="0" t="str">
        <f aca="false">IF(A45="","",A45&amp;" | "&amp;C45)</f>
        <v/>
      </c>
      <c r="X45" s="0" t="str">
        <f aca="true">IF(A45="","",IF(AND(R45&lt;&gt;"",P45="Yes",Q45="Yes",N45&lt;&gt;"Do Not Contact"),IF(INT(R45)=TODAY(),1,IF(INT(R45)=TODAY()+1,2,0)),0))</f>
        <v/>
      </c>
      <c r="Y45" s="0" t="str">
        <f aca="false">IF(OR(X45=1,X45=2),COUNTIF($X$2:X45,1)+COUNTIF($X$2:X45,2),"")</f>
        <v/>
      </c>
    </row>
    <row r="46" customFormat="false" ht="15" hidden="false" customHeight="false" outlineLevel="0" collapsed="false">
      <c r="A46" s="96"/>
      <c r="B46" s="97"/>
      <c r="C46" s="96"/>
      <c r="D46" s="96"/>
      <c r="E46" s="96"/>
      <c r="F46" s="96"/>
      <c r="G46" s="96"/>
      <c r="H46" s="96"/>
      <c r="I46" s="98"/>
      <c r="J46" s="96"/>
      <c r="K46" s="96"/>
      <c r="L46" s="96"/>
      <c r="M46" s="96"/>
      <c r="N46" s="96"/>
      <c r="O46" s="96"/>
      <c r="P46" s="96"/>
      <c r="Q46" s="96"/>
      <c r="R46" s="97"/>
      <c r="S46" s="97"/>
      <c r="T46" s="96"/>
      <c r="U46" s="0" t="str">
        <f aca="true">IF(A46="","",IF(AND(R46&lt;&gt;"",R46&lt;=TODAY()+30,P46="Yes",Q46="Yes",N46&lt;&gt;"Do Not Contact"),1,0))</f>
        <v/>
      </c>
      <c r="V46" s="0" t="str">
        <f aca="false">IF(U46=1,COUNTIF($U$2:U46,1),"")</f>
        <v/>
      </c>
      <c r="W46" s="0" t="str">
        <f aca="false">IF(A46="","",A46&amp;" | "&amp;C46)</f>
        <v/>
      </c>
      <c r="X46" s="0" t="str">
        <f aca="true">IF(A46="","",IF(AND(R46&lt;&gt;"",P46="Yes",Q46="Yes",N46&lt;&gt;"Do Not Contact"),IF(INT(R46)=TODAY(),1,IF(INT(R46)=TODAY()+1,2,0)),0))</f>
        <v/>
      </c>
      <c r="Y46" s="0" t="str">
        <f aca="false">IF(OR(X46=1,X46=2),COUNTIF($X$2:X46,1)+COUNTIF($X$2:X46,2),"")</f>
        <v/>
      </c>
    </row>
    <row r="47" customFormat="false" ht="15" hidden="false" customHeight="false" outlineLevel="0" collapsed="false">
      <c r="A47" s="96"/>
      <c r="B47" s="97"/>
      <c r="C47" s="96"/>
      <c r="D47" s="96"/>
      <c r="E47" s="96"/>
      <c r="F47" s="96"/>
      <c r="G47" s="96"/>
      <c r="H47" s="96"/>
      <c r="I47" s="98"/>
      <c r="J47" s="96"/>
      <c r="K47" s="96"/>
      <c r="L47" s="96"/>
      <c r="M47" s="96"/>
      <c r="N47" s="96"/>
      <c r="O47" s="96"/>
      <c r="P47" s="96"/>
      <c r="Q47" s="96"/>
      <c r="R47" s="97"/>
      <c r="S47" s="97"/>
      <c r="T47" s="96"/>
      <c r="U47" s="0" t="str">
        <f aca="true">IF(A47="","",IF(AND(R47&lt;&gt;"",R47&lt;=TODAY()+30,P47="Yes",Q47="Yes",N47&lt;&gt;"Do Not Contact"),1,0))</f>
        <v/>
      </c>
      <c r="V47" s="0" t="str">
        <f aca="false">IF(U47=1,COUNTIF($U$2:U47,1),"")</f>
        <v/>
      </c>
      <c r="W47" s="0" t="str">
        <f aca="false">IF(A47="","",A47&amp;" | "&amp;C47)</f>
        <v/>
      </c>
      <c r="X47" s="0" t="str">
        <f aca="true">IF(A47="","",IF(AND(R47&lt;&gt;"",P47="Yes",Q47="Yes",N47&lt;&gt;"Do Not Contact"),IF(INT(R47)=TODAY(),1,IF(INT(R47)=TODAY()+1,2,0)),0))</f>
        <v/>
      </c>
      <c r="Y47" s="0" t="str">
        <f aca="false">IF(OR(X47=1,X47=2),COUNTIF($X$2:X47,1)+COUNTIF($X$2:X47,2),"")</f>
        <v/>
      </c>
    </row>
    <row r="48" customFormat="false" ht="15" hidden="false" customHeight="false" outlineLevel="0" collapsed="false">
      <c r="A48" s="96"/>
      <c r="B48" s="97"/>
      <c r="C48" s="96"/>
      <c r="D48" s="96"/>
      <c r="E48" s="96"/>
      <c r="F48" s="96"/>
      <c r="G48" s="96"/>
      <c r="H48" s="96"/>
      <c r="I48" s="98"/>
      <c r="J48" s="96"/>
      <c r="K48" s="96"/>
      <c r="L48" s="96"/>
      <c r="M48" s="96"/>
      <c r="N48" s="96"/>
      <c r="O48" s="96"/>
      <c r="P48" s="96"/>
      <c r="Q48" s="96"/>
      <c r="R48" s="97"/>
      <c r="S48" s="97"/>
      <c r="T48" s="96"/>
      <c r="U48" s="0" t="str">
        <f aca="true">IF(A48="","",IF(AND(R48&lt;&gt;"",R48&lt;=TODAY()+30,P48="Yes",Q48="Yes",N48&lt;&gt;"Do Not Contact"),1,0))</f>
        <v/>
      </c>
      <c r="V48" s="0" t="str">
        <f aca="false">IF(U48=1,COUNTIF($U$2:U48,1),"")</f>
        <v/>
      </c>
      <c r="W48" s="0" t="str">
        <f aca="false">IF(A48="","",A48&amp;" | "&amp;C48)</f>
        <v/>
      </c>
      <c r="X48" s="0" t="str">
        <f aca="true">IF(A48="","",IF(AND(R48&lt;&gt;"",P48="Yes",Q48="Yes",N48&lt;&gt;"Do Not Contact"),IF(INT(R48)=TODAY(),1,IF(INT(R48)=TODAY()+1,2,0)),0))</f>
        <v/>
      </c>
      <c r="Y48" s="0" t="str">
        <f aca="false">IF(OR(X48=1,X48=2),COUNTIF($X$2:X48,1)+COUNTIF($X$2:X48,2),"")</f>
        <v/>
      </c>
    </row>
    <row r="49" customFormat="false" ht="15" hidden="false" customHeight="false" outlineLevel="0" collapsed="false">
      <c r="A49" s="96"/>
      <c r="B49" s="97"/>
      <c r="C49" s="96"/>
      <c r="D49" s="96"/>
      <c r="E49" s="96"/>
      <c r="F49" s="96"/>
      <c r="G49" s="96"/>
      <c r="H49" s="96"/>
      <c r="I49" s="98"/>
      <c r="J49" s="96"/>
      <c r="K49" s="96"/>
      <c r="L49" s="96"/>
      <c r="M49" s="96"/>
      <c r="N49" s="96"/>
      <c r="O49" s="96"/>
      <c r="P49" s="96"/>
      <c r="Q49" s="96"/>
      <c r="R49" s="97"/>
      <c r="S49" s="97"/>
      <c r="T49" s="96"/>
      <c r="U49" s="0" t="str">
        <f aca="true">IF(A49="","",IF(AND(R49&lt;&gt;"",R49&lt;=TODAY()+30,P49="Yes",Q49="Yes",N49&lt;&gt;"Do Not Contact"),1,0))</f>
        <v/>
      </c>
      <c r="V49" s="0" t="str">
        <f aca="false">IF(U49=1,COUNTIF($U$2:U49,1),"")</f>
        <v/>
      </c>
      <c r="W49" s="0" t="str">
        <f aca="false">IF(A49="","",A49&amp;" | "&amp;C49)</f>
        <v/>
      </c>
      <c r="X49" s="0" t="str">
        <f aca="true">IF(A49="","",IF(AND(R49&lt;&gt;"",P49="Yes",Q49="Yes",N49&lt;&gt;"Do Not Contact"),IF(INT(R49)=TODAY(),1,IF(INT(R49)=TODAY()+1,2,0)),0))</f>
        <v/>
      </c>
      <c r="Y49" s="0" t="str">
        <f aca="false">IF(OR(X49=1,X49=2),COUNTIF($X$2:X49,1)+COUNTIF($X$2:X49,2),"")</f>
        <v/>
      </c>
    </row>
    <row r="50" customFormat="false" ht="15" hidden="false" customHeight="false" outlineLevel="0" collapsed="false">
      <c r="A50" s="96"/>
      <c r="B50" s="97"/>
      <c r="C50" s="96"/>
      <c r="D50" s="96"/>
      <c r="E50" s="96"/>
      <c r="F50" s="96"/>
      <c r="G50" s="96"/>
      <c r="H50" s="96"/>
      <c r="I50" s="98"/>
      <c r="J50" s="96"/>
      <c r="K50" s="96"/>
      <c r="L50" s="96"/>
      <c r="M50" s="96"/>
      <c r="N50" s="96"/>
      <c r="O50" s="96"/>
      <c r="P50" s="96"/>
      <c r="Q50" s="96"/>
      <c r="R50" s="97"/>
      <c r="S50" s="97"/>
      <c r="T50" s="96"/>
      <c r="U50" s="0" t="str">
        <f aca="true">IF(A50="","",IF(AND(R50&lt;&gt;"",R50&lt;=TODAY()+30,P50="Yes",Q50="Yes",N50&lt;&gt;"Do Not Contact"),1,0))</f>
        <v/>
      </c>
      <c r="V50" s="0" t="str">
        <f aca="false">IF(U50=1,COUNTIF($U$2:U50,1),"")</f>
        <v/>
      </c>
      <c r="W50" s="0" t="str">
        <f aca="false">IF(A50="","",A50&amp;" | "&amp;C50)</f>
        <v/>
      </c>
      <c r="X50" s="0" t="str">
        <f aca="true">IF(A50="","",IF(AND(R50&lt;&gt;"",P50="Yes",Q50="Yes",N50&lt;&gt;"Do Not Contact"),IF(INT(R50)=TODAY(),1,IF(INT(R50)=TODAY()+1,2,0)),0))</f>
        <v/>
      </c>
      <c r="Y50" s="0" t="str">
        <f aca="false">IF(OR(X50=1,X50=2),COUNTIF($X$2:X50,1)+COUNTIF($X$2:X50,2),"")</f>
        <v/>
      </c>
    </row>
    <row r="51" customFormat="false" ht="15" hidden="false" customHeight="false" outlineLevel="0" collapsed="false">
      <c r="A51" s="96"/>
      <c r="B51" s="97"/>
      <c r="C51" s="96"/>
      <c r="D51" s="96"/>
      <c r="E51" s="96"/>
      <c r="F51" s="96"/>
      <c r="G51" s="96"/>
      <c r="H51" s="96"/>
      <c r="I51" s="98"/>
      <c r="J51" s="96"/>
      <c r="K51" s="96"/>
      <c r="L51" s="96"/>
      <c r="M51" s="96"/>
      <c r="N51" s="96"/>
      <c r="O51" s="96"/>
      <c r="P51" s="96"/>
      <c r="Q51" s="96"/>
      <c r="R51" s="97"/>
      <c r="S51" s="97"/>
      <c r="T51" s="96"/>
      <c r="U51" s="0" t="str">
        <f aca="true">IF(A51="","",IF(AND(R51&lt;&gt;"",R51&lt;=TODAY()+30,P51="Yes",Q51="Yes",N51&lt;&gt;"Do Not Contact"),1,0))</f>
        <v/>
      </c>
      <c r="V51" s="0" t="str">
        <f aca="false">IF(U51=1,COUNTIF($U$2:U51,1),"")</f>
        <v/>
      </c>
      <c r="W51" s="0" t="str">
        <f aca="false">IF(A51="","",A51&amp;" | "&amp;C51)</f>
        <v/>
      </c>
      <c r="X51" s="0" t="str">
        <f aca="true">IF(A51="","",IF(AND(R51&lt;&gt;"",P51="Yes",Q51="Yes",N51&lt;&gt;"Do Not Contact"),IF(INT(R51)=TODAY(),1,IF(INT(R51)=TODAY()+1,2,0)),0))</f>
        <v/>
      </c>
      <c r="Y51" s="0" t="str">
        <f aca="false">IF(OR(X51=1,X51=2),COUNTIF($X$2:X51,1)+COUNTIF($X$2:X51,2),"")</f>
        <v/>
      </c>
    </row>
    <row r="52" customFormat="false" ht="15" hidden="false" customHeight="false" outlineLevel="0" collapsed="false">
      <c r="A52" s="96"/>
      <c r="B52" s="97"/>
      <c r="C52" s="96"/>
      <c r="D52" s="96"/>
      <c r="E52" s="96"/>
      <c r="F52" s="96"/>
      <c r="G52" s="96"/>
      <c r="H52" s="96"/>
      <c r="I52" s="98"/>
      <c r="J52" s="96"/>
      <c r="K52" s="96"/>
      <c r="L52" s="96"/>
      <c r="M52" s="96"/>
      <c r="N52" s="96"/>
      <c r="O52" s="96"/>
      <c r="P52" s="96"/>
      <c r="Q52" s="96"/>
      <c r="R52" s="97"/>
      <c r="S52" s="97"/>
      <c r="T52" s="96"/>
      <c r="U52" s="0" t="str">
        <f aca="true">IF(A52="","",IF(AND(R52&lt;&gt;"",R52&lt;=TODAY()+30,P52="Yes",Q52="Yes",N52&lt;&gt;"Do Not Contact"),1,0))</f>
        <v/>
      </c>
      <c r="V52" s="0" t="str">
        <f aca="false">IF(U52=1,COUNTIF($U$2:U52,1),"")</f>
        <v/>
      </c>
      <c r="W52" s="0" t="str">
        <f aca="false">IF(A52="","",A52&amp;" | "&amp;C52)</f>
        <v/>
      </c>
      <c r="X52" s="0" t="str">
        <f aca="true">IF(A52="","",IF(AND(R52&lt;&gt;"",P52="Yes",Q52="Yes",N52&lt;&gt;"Do Not Contact"),IF(INT(R52)=TODAY(),1,IF(INT(R52)=TODAY()+1,2,0)),0))</f>
        <v/>
      </c>
      <c r="Y52" s="0" t="str">
        <f aca="false">IF(OR(X52=1,X52=2),COUNTIF($X$2:X52,1)+COUNTIF($X$2:X52,2),"")</f>
        <v/>
      </c>
    </row>
    <row r="53" customFormat="false" ht="15" hidden="false" customHeight="false" outlineLevel="0" collapsed="false">
      <c r="A53" s="96"/>
      <c r="B53" s="97"/>
      <c r="C53" s="96"/>
      <c r="D53" s="96"/>
      <c r="E53" s="96"/>
      <c r="F53" s="96"/>
      <c r="G53" s="96"/>
      <c r="H53" s="96"/>
      <c r="I53" s="98"/>
      <c r="J53" s="96"/>
      <c r="K53" s="96"/>
      <c r="L53" s="96"/>
      <c r="M53" s="96"/>
      <c r="N53" s="96"/>
      <c r="O53" s="96"/>
      <c r="P53" s="96"/>
      <c r="Q53" s="96"/>
      <c r="R53" s="97"/>
      <c r="S53" s="97"/>
      <c r="T53" s="96"/>
      <c r="U53" s="0" t="str">
        <f aca="true">IF(A53="","",IF(AND(R53&lt;&gt;"",R53&lt;=TODAY()+30,P53="Yes",Q53="Yes",N53&lt;&gt;"Do Not Contact"),1,0))</f>
        <v/>
      </c>
      <c r="V53" s="0" t="str">
        <f aca="false">IF(U53=1,COUNTIF($U$2:U53,1),"")</f>
        <v/>
      </c>
      <c r="W53" s="0" t="str">
        <f aca="false">IF(A53="","",A53&amp;" | "&amp;C53)</f>
        <v/>
      </c>
      <c r="X53" s="0" t="str">
        <f aca="true">IF(A53="","",IF(AND(R53&lt;&gt;"",P53="Yes",Q53="Yes",N53&lt;&gt;"Do Not Contact"),IF(INT(R53)=TODAY(),1,IF(INT(R53)=TODAY()+1,2,0)),0))</f>
        <v/>
      </c>
      <c r="Y53" s="0" t="str">
        <f aca="false">IF(OR(X53=1,X53=2),COUNTIF($X$2:X53,1)+COUNTIF($X$2:X53,2),"")</f>
        <v/>
      </c>
    </row>
    <row r="54" customFormat="false" ht="15" hidden="false" customHeight="false" outlineLevel="0" collapsed="false">
      <c r="A54" s="96"/>
      <c r="B54" s="97"/>
      <c r="C54" s="96"/>
      <c r="D54" s="96"/>
      <c r="E54" s="96"/>
      <c r="F54" s="96"/>
      <c r="G54" s="96"/>
      <c r="H54" s="96"/>
      <c r="I54" s="98"/>
      <c r="J54" s="96"/>
      <c r="K54" s="96"/>
      <c r="L54" s="96"/>
      <c r="M54" s="96"/>
      <c r="N54" s="96"/>
      <c r="O54" s="96"/>
      <c r="P54" s="96"/>
      <c r="Q54" s="96"/>
      <c r="R54" s="97"/>
      <c r="S54" s="97"/>
      <c r="T54" s="96"/>
      <c r="U54" s="0" t="str">
        <f aca="true">IF(A54="","",IF(AND(R54&lt;&gt;"",R54&lt;=TODAY()+30,P54="Yes",Q54="Yes",N54&lt;&gt;"Do Not Contact"),1,0))</f>
        <v/>
      </c>
      <c r="V54" s="0" t="str">
        <f aca="false">IF(U54=1,COUNTIF($U$2:U54,1),"")</f>
        <v/>
      </c>
      <c r="W54" s="0" t="str">
        <f aca="false">IF(A54="","",A54&amp;" | "&amp;C54)</f>
        <v/>
      </c>
      <c r="X54" s="0" t="str">
        <f aca="true">IF(A54="","",IF(AND(R54&lt;&gt;"",P54="Yes",Q54="Yes",N54&lt;&gt;"Do Not Contact"),IF(INT(R54)=TODAY(),1,IF(INT(R54)=TODAY()+1,2,0)),0))</f>
        <v/>
      </c>
      <c r="Y54" s="0" t="str">
        <f aca="false">IF(OR(X54=1,X54=2),COUNTIF($X$2:X54,1)+COUNTIF($X$2:X54,2),"")</f>
        <v/>
      </c>
    </row>
    <row r="55" customFormat="false" ht="15" hidden="false" customHeight="false" outlineLevel="0" collapsed="false">
      <c r="A55" s="96"/>
      <c r="B55" s="97"/>
      <c r="C55" s="96"/>
      <c r="D55" s="96"/>
      <c r="E55" s="96"/>
      <c r="F55" s="96"/>
      <c r="G55" s="96"/>
      <c r="H55" s="96"/>
      <c r="I55" s="98"/>
      <c r="J55" s="96"/>
      <c r="K55" s="96"/>
      <c r="L55" s="96"/>
      <c r="M55" s="96"/>
      <c r="N55" s="96"/>
      <c r="O55" s="96"/>
      <c r="P55" s="96"/>
      <c r="Q55" s="96"/>
      <c r="R55" s="97"/>
      <c r="S55" s="97"/>
      <c r="T55" s="96"/>
      <c r="U55" s="0" t="str">
        <f aca="true">IF(A55="","",IF(AND(R55&lt;&gt;"",R55&lt;=TODAY()+30,P55="Yes",Q55="Yes",N55&lt;&gt;"Do Not Contact"),1,0))</f>
        <v/>
      </c>
      <c r="V55" s="0" t="str">
        <f aca="false">IF(U55=1,COUNTIF($U$2:U55,1),"")</f>
        <v/>
      </c>
      <c r="W55" s="0" t="str">
        <f aca="false">IF(A55="","",A55&amp;" | "&amp;C55)</f>
        <v/>
      </c>
      <c r="X55" s="0" t="str">
        <f aca="true">IF(A55="","",IF(AND(R55&lt;&gt;"",P55="Yes",Q55="Yes",N55&lt;&gt;"Do Not Contact"),IF(INT(R55)=TODAY(),1,IF(INT(R55)=TODAY()+1,2,0)),0))</f>
        <v/>
      </c>
      <c r="Y55" s="0" t="str">
        <f aca="false">IF(OR(X55=1,X55=2),COUNTIF($X$2:X55,1)+COUNTIF($X$2:X55,2),"")</f>
        <v/>
      </c>
    </row>
    <row r="56" customFormat="false" ht="15" hidden="false" customHeight="false" outlineLevel="0" collapsed="false">
      <c r="A56" s="96"/>
      <c r="B56" s="97"/>
      <c r="C56" s="96"/>
      <c r="D56" s="96"/>
      <c r="E56" s="96"/>
      <c r="F56" s="96"/>
      <c r="G56" s="96"/>
      <c r="H56" s="96"/>
      <c r="I56" s="98"/>
      <c r="J56" s="96"/>
      <c r="K56" s="96"/>
      <c r="L56" s="96"/>
      <c r="M56" s="96"/>
      <c r="N56" s="96"/>
      <c r="O56" s="96"/>
      <c r="P56" s="96"/>
      <c r="Q56" s="96"/>
      <c r="R56" s="97"/>
      <c r="S56" s="97"/>
      <c r="T56" s="96"/>
      <c r="U56" s="0" t="str">
        <f aca="true">IF(A56="","",IF(AND(R56&lt;&gt;"",R56&lt;=TODAY()+30,P56="Yes",Q56="Yes",N56&lt;&gt;"Do Not Contact"),1,0))</f>
        <v/>
      </c>
      <c r="V56" s="0" t="str">
        <f aca="false">IF(U56=1,COUNTIF($U$2:U56,1),"")</f>
        <v/>
      </c>
      <c r="W56" s="0" t="str">
        <f aca="false">IF(A56="","",A56&amp;" | "&amp;C56)</f>
        <v/>
      </c>
      <c r="X56" s="0" t="str">
        <f aca="true">IF(A56="","",IF(AND(R56&lt;&gt;"",P56="Yes",Q56="Yes",N56&lt;&gt;"Do Not Contact"),IF(INT(R56)=TODAY(),1,IF(INT(R56)=TODAY()+1,2,0)),0))</f>
        <v/>
      </c>
      <c r="Y56" s="0" t="str">
        <f aca="false">IF(OR(X56=1,X56=2),COUNTIF($X$2:X56,1)+COUNTIF($X$2:X56,2),"")</f>
        <v/>
      </c>
    </row>
    <row r="57" customFormat="false" ht="15" hidden="false" customHeight="false" outlineLevel="0" collapsed="false">
      <c r="A57" s="96"/>
      <c r="B57" s="97"/>
      <c r="C57" s="96"/>
      <c r="D57" s="96"/>
      <c r="E57" s="96"/>
      <c r="F57" s="96"/>
      <c r="G57" s="96"/>
      <c r="H57" s="96"/>
      <c r="I57" s="98"/>
      <c r="J57" s="96"/>
      <c r="K57" s="96"/>
      <c r="L57" s="96"/>
      <c r="M57" s="96"/>
      <c r="N57" s="96"/>
      <c r="O57" s="96"/>
      <c r="P57" s="96"/>
      <c r="Q57" s="96"/>
      <c r="R57" s="97"/>
      <c r="S57" s="97"/>
      <c r="T57" s="96"/>
      <c r="U57" s="0" t="str">
        <f aca="true">IF(A57="","",IF(AND(R57&lt;&gt;"",R57&lt;=TODAY()+30,P57="Yes",Q57="Yes",N57&lt;&gt;"Do Not Contact"),1,0))</f>
        <v/>
      </c>
      <c r="V57" s="0" t="str">
        <f aca="false">IF(U57=1,COUNTIF($U$2:U57,1),"")</f>
        <v/>
      </c>
      <c r="W57" s="0" t="str">
        <f aca="false">IF(A57="","",A57&amp;" | "&amp;C57)</f>
        <v/>
      </c>
      <c r="X57" s="0" t="str">
        <f aca="true">IF(A57="","",IF(AND(R57&lt;&gt;"",P57="Yes",Q57="Yes",N57&lt;&gt;"Do Not Contact"),IF(INT(R57)=TODAY(),1,IF(INT(R57)=TODAY()+1,2,0)),0))</f>
        <v/>
      </c>
      <c r="Y57" s="0" t="str">
        <f aca="false">IF(OR(X57=1,X57=2),COUNTIF($X$2:X57,1)+COUNTIF($X$2:X57,2),"")</f>
        <v/>
      </c>
    </row>
    <row r="58" customFormat="false" ht="15" hidden="false" customHeight="false" outlineLevel="0" collapsed="false">
      <c r="A58" s="96"/>
      <c r="B58" s="97"/>
      <c r="C58" s="96"/>
      <c r="D58" s="96"/>
      <c r="E58" s="96"/>
      <c r="F58" s="96"/>
      <c r="G58" s="96"/>
      <c r="H58" s="96"/>
      <c r="I58" s="98"/>
      <c r="J58" s="96"/>
      <c r="K58" s="96"/>
      <c r="L58" s="96"/>
      <c r="M58" s="96"/>
      <c r="N58" s="96"/>
      <c r="O58" s="96"/>
      <c r="P58" s="96"/>
      <c r="Q58" s="96"/>
      <c r="R58" s="97"/>
      <c r="S58" s="97"/>
      <c r="T58" s="96"/>
      <c r="U58" s="0" t="str">
        <f aca="true">IF(A58="","",IF(AND(R58&lt;&gt;"",R58&lt;=TODAY()+30,P58="Yes",Q58="Yes",N58&lt;&gt;"Do Not Contact"),1,0))</f>
        <v/>
      </c>
      <c r="V58" s="0" t="str">
        <f aca="false">IF(U58=1,COUNTIF($U$2:U58,1),"")</f>
        <v/>
      </c>
      <c r="W58" s="0" t="str">
        <f aca="false">IF(A58="","",A58&amp;" | "&amp;C58)</f>
        <v/>
      </c>
      <c r="X58" s="0" t="str">
        <f aca="true">IF(A58="","",IF(AND(R58&lt;&gt;"",P58="Yes",Q58="Yes",N58&lt;&gt;"Do Not Contact"),IF(INT(R58)=TODAY(),1,IF(INT(R58)=TODAY()+1,2,0)),0))</f>
        <v/>
      </c>
      <c r="Y58" s="0" t="str">
        <f aca="false">IF(OR(X58=1,X58=2),COUNTIF($X$2:X58,1)+COUNTIF($X$2:X58,2),"")</f>
        <v/>
      </c>
    </row>
    <row r="59" customFormat="false" ht="15" hidden="false" customHeight="false" outlineLevel="0" collapsed="false">
      <c r="A59" s="96"/>
      <c r="B59" s="97"/>
      <c r="C59" s="96"/>
      <c r="D59" s="96"/>
      <c r="E59" s="96"/>
      <c r="F59" s="96"/>
      <c r="G59" s="96"/>
      <c r="H59" s="96"/>
      <c r="I59" s="98"/>
      <c r="J59" s="96"/>
      <c r="K59" s="96"/>
      <c r="L59" s="96"/>
      <c r="M59" s="96"/>
      <c r="N59" s="96"/>
      <c r="O59" s="96"/>
      <c r="P59" s="96"/>
      <c r="Q59" s="96"/>
      <c r="R59" s="97"/>
      <c r="S59" s="97"/>
      <c r="T59" s="96"/>
      <c r="U59" s="0" t="str">
        <f aca="true">IF(A59="","",IF(AND(R59&lt;&gt;"",R59&lt;=TODAY()+30,P59="Yes",Q59="Yes",N59&lt;&gt;"Do Not Contact"),1,0))</f>
        <v/>
      </c>
      <c r="V59" s="0" t="str">
        <f aca="false">IF(U59=1,COUNTIF($U$2:U59,1),"")</f>
        <v/>
      </c>
      <c r="W59" s="0" t="str">
        <f aca="false">IF(A59="","",A59&amp;" | "&amp;C59)</f>
        <v/>
      </c>
      <c r="X59" s="0" t="str">
        <f aca="true">IF(A59="","",IF(AND(R59&lt;&gt;"",P59="Yes",Q59="Yes",N59&lt;&gt;"Do Not Contact"),IF(INT(R59)=TODAY(),1,IF(INT(R59)=TODAY()+1,2,0)),0))</f>
        <v/>
      </c>
      <c r="Y59" s="0" t="str">
        <f aca="false">IF(OR(X59=1,X59=2),COUNTIF($X$2:X59,1)+COUNTIF($X$2:X59,2),"")</f>
        <v/>
      </c>
    </row>
    <row r="60" customFormat="false" ht="15" hidden="false" customHeight="false" outlineLevel="0" collapsed="false">
      <c r="A60" s="96"/>
      <c r="B60" s="97"/>
      <c r="C60" s="96"/>
      <c r="D60" s="96"/>
      <c r="E60" s="96"/>
      <c r="F60" s="96"/>
      <c r="G60" s="96"/>
      <c r="H60" s="96"/>
      <c r="I60" s="98"/>
      <c r="J60" s="96"/>
      <c r="K60" s="96"/>
      <c r="L60" s="96"/>
      <c r="M60" s="96"/>
      <c r="N60" s="96"/>
      <c r="O60" s="96"/>
      <c r="P60" s="96"/>
      <c r="Q60" s="96"/>
      <c r="R60" s="97"/>
      <c r="S60" s="97"/>
      <c r="T60" s="96"/>
      <c r="U60" s="0" t="str">
        <f aca="true">IF(A60="","",IF(AND(R60&lt;&gt;"",R60&lt;=TODAY()+30,P60="Yes",Q60="Yes",N60&lt;&gt;"Do Not Contact"),1,0))</f>
        <v/>
      </c>
      <c r="V60" s="0" t="str">
        <f aca="false">IF(U60=1,COUNTIF($U$2:U60,1),"")</f>
        <v/>
      </c>
      <c r="W60" s="0" t="str">
        <f aca="false">IF(A60="","",A60&amp;" | "&amp;C60)</f>
        <v/>
      </c>
      <c r="X60" s="0" t="str">
        <f aca="true">IF(A60="","",IF(AND(R60&lt;&gt;"",P60="Yes",Q60="Yes",N60&lt;&gt;"Do Not Contact"),IF(INT(R60)=TODAY(),1,IF(INT(R60)=TODAY()+1,2,0)),0))</f>
        <v/>
      </c>
      <c r="Y60" s="0" t="str">
        <f aca="false">IF(OR(X60=1,X60=2),COUNTIF($X$2:X60,1)+COUNTIF($X$2:X60,2),"")</f>
        <v/>
      </c>
    </row>
    <row r="61" customFormat="false" ht="15" hidden="false" customHeight="false" outlineLevel="0" collapsed="false">
      <c r="A61" s="96"/>
      <c r="B61" s="97"/>
      <c r="C61" s="96"/>
      <c r="D61" s="96"/>
      <c r="E61" s="96"/>
      <c r="F61" s="96"/>
      <c r="G61" s="96"/>
      <c r="H61" s="96"/>
      <c r="I61" s="98"/>
      <c r="J61" s="96"/>
      <c r="K61" s="96"/>
      <c r="L61" s="96"/>
      <c r="M61" s="96"/>
      <c r="N61" s="96"/>
      <c r="O61" s="96"/>
      <c r="P61" s="96"/>
      <c r="Q61" s="96"/>
      <c r="R61" s="97"/>
      <c r="S61" s="97"/>
      <c r="T61" s="96"/>
      <c r="U61" s="0" t="str">
        <f aca="true">IF(A61="","",IF(AND(R61&lt;&gt;"",R61&lt;=TODAY()+30,P61="Yes",Q61="Yes",N61&lt;&gt;"Do Not Contact"),1,0))</f>
        <v/>
      </c>
      <c r="V61" s="0" t="str">
        <f aca="false">IF(U61=1,COUNTIF($U$2:U61,1),"")</f>
        <v/>
      </c>
      <c r="W61" s="0" t="str">
        <f aca="false">IF(A61="","",A61&amp;" | "&amp;C61)</f>
        <v/>
      </c>
      <c r="X61" s="0" t="str">
        <f aca="true">IF(A61="","",IF(AND(R61&lt;&gt;"",P61="Yes",Q61="Yes",N61&lt;&gt;"Do Not Contact"),IF(INT(R61)=TODAY(),1,IF(INT(R61)=TODAY()+1,2,0)),0))</f>
        <v/>
      </c>
      <c r="Y61" s="0" t="str">
        <f aca="false">IF(OR(X61=1,X61=2),COUNTIF($X$2:X61,1)+COUNTIF($X$2:X61,2),"")</f>
        <v/>
      </c>
    </row>
    <row r="62" customFormat="false" ht="15" hidden="false" customHeight="false" outlineLevel="0" collapsed="false">
      <c r="A62" s="96"/>
      <c r="B62" s="97"/>
      <c r="C62" s="96"/>
      <c r="D62" s="96"/>
      <c r="E62" s="96"/>
      <c r="F62" s="96"/>
      <c r="G62" s="96"/>
      <c r="H62" s="96"/>
      <c r="I62" s="98"/>
      <c r="J62" s="96"/>
      <c r="K62" s="96"/>
      <c r="L62" s="96"/>
      <c r="M62" s="96"/>
      <c r="N62" s="96"/>
      <c r="O62" s="96"/>
      <c r="P62" s="96"/>
      <c r="Q62" s="96"/>
      <c r="R62" s="97"/>
      <c r="S62" s="97"/>
      <c r="T62" s="96"/>
      <c r="U62" s="0" t="str">
        <f aca="true">IF(A62="","",IF(AND(R62&lt;&gt;"",R62&lt;=TODAY()+30,P62="Yes",Q62="Yes",N62&lt;&gt;"Do Not Contact"),1,0))</f>
        <v/>
      </c>
      <c r="V62" s="0" t="str">
        <f aca="false">IF(U62=1,COUNTIF($U$2:U62,1),"")</f>
        <v/>
      </c>
      <c r="W62" s="0" t="str">
        <f aca="false">IF(A62="","",A62&amp;" | "&amp;C62)</f>
        <v/>
      </c>
      <c r="X62" s="0" t="str">
        <f aca="true">IF(A62="","",IF(AND(R62&lt;&gt;"",P62="Yes",Q62="Yes",N62&lt;&gt;"Do Not Contact"),IF(INT(R62)=TODAY(),1,IF(INT(R62)=TODAY()+1,2,0)),0))</f>
        <v/>
      </c>
      <c r="Y62" s="0" t="str">
        <f aca="false">IF(OR(X62=1,X62=2),COUNTIF($X$2:X62,1)+COUNTIF($X$2:X62,2),"")</f>
        <v/>
      </c>
    </row>
    <row r="63" customFormat="false" ht="15" hidden="false" customHeight="false" outlineLevel="0" collapsed="false">
      <c r="A63" s="96"/>
      <c r="B63" s="97"/>
      <c r="C63" s="96"/>
      <c r="D63" s="96"/>
      <c r="E63" s="96"/>
      <c r="F63" s="96"/>
      <c r="G63" s="96"/>
      <c r="H63" s="96"/>
      <c r="I63" s="98"/>
      <c r="J63" s="96"/>
      <c r="K63" s="96"/>
      <c r="L63" s="96"/>
      <c r="M63" s="96"/>
      <c r="N63" s="96"/>
      <c r="O63" s="96"/>
      <c r="P63" s="96"/>
      <c r="Q63" s="96"/>
      <c r="R63" s="97"/>
      <c r="S63" s="97"/>
      <c r="T63" s="96"/>
      <c r="U63" s="0" t="str">
        <f aca="true">IF(A63="","",IF(AND(R63&lt;&gt;"",R63&lt;=TODAY()+30,P63="Yes",Q63="Yes",N63&lt;&gt;"Do Not Contact"),1,0))</f>
        <v/>
      </c>
      <c r="V63" s="0" t="str">
        <f aca="false">IF(U63=1,COUNTIF($U$2:U63,1),"")</f>
        <v/>
      </c>
      <c r="W63" s="0" t="str">
        <f aca="false">IF(A63="","",A63&amp;" | "&amp;C63)</f>
        <v/>
      </c>
      <c r="X63" s="0" t="str">
        <f aca="true">IF(A63="","",IF(AND(R63&lt;&gt;"",P63="Yes",Q63="Yes",N63&lt;&gt;"Do Not Contact"),IF(INT(R63)=TODAY(),1,IF(INT(R63)=TODAY()+1,2,0)),0))</f>
        <v/>
      </c>
      <c r="Y63" s="0" t="str">
        <f aca="false">IF(OR(X63=1,X63=2),COUNTIF($X$2:X63,1)+COUNTIF($X$2:X63,2),"")</f>
        <v/>
      </c>
    </row>
    <row r="64" customFormat="false" ht="15" hidden="false" customHeight="false" outlineLevel="0" collapsed="false">
      <c r="A64" s="96"/>
      <c r="B64" s="97"/>
      <c r="C64" s="96"/>
      <c r="D64" s="96"/>
      <c r="E64" s="96"/>
      <c r="F64" s="96"/>
      <c r="G64" s="96"/>
      <c r="H64" s="96"/>
      <c r="I64" s="98"/>
      <c r="J64" s="96"/>
      <c r="K64" s="96"/>
      <c r="L64" s="96"/>
      <c r="M64" s="96"/>
      <c r="N64" s="96"/>
      <c r="O64" s="96"/>
      <c r="P64" s="96"/>
      <c r="Q64" s="96"/>
      <c r="R64" s="97"/>
      <c r="S64" s="97"/>
      <c r="T64" s="96"/>
      <c r="U64" s="0" t="str">
        <f aca="true">IF(A64="","",IF(AND(R64&lt;&gt;"",R64&lt;=TODAY()+30,P64="Yes",Q64="Yes",N64&lt;&gt;"Do Not Contact"),1,0))</f>
        <v/>
      </c>
      <c r="V64" s="0" t="str">
        <f aca="false">IF(U64=1,COUNTIF($U$2:U64,1),"")</f>
        <v/>
      </c>
      <c r="W64" s="0" t="str">
        <f aca="false">IF(A64="","",A64&amp;" | "&amp;C64)</f>
        <v/>
      </c>
      <c r="X64" s="0" t="str">
        <f aca="true">IF(A64="","",IF(AND(R64&lt;&gt;"",P64="Yes",Q64="Yes",N64&lt;&gt;"Do Not Contact"),IF(INT(R64)=TODAY(),1,IF(INT(R64)=TODAY()+1,2,0)),0))</f>
        <v/>
      </c>
      <c r="Y64" s="0" t="str">
        <f aca="false">IF(OR(X64=1,X64=2),COUNTIF($X$2:X64,1)+COUNTIF($X$2:X64,2),"")</f>
        <v/>
      </c>
    </row>
    <row r="65" customFormat="false" ht="15" hidden="false" customHeight="false" outlineLevel="0" collapsed="false">
      <c r="A65" s="96"/>
      <c r="B65" s="97"/>
      <c r="C65" s="96"/>
      <c r="D65" s="96"/>
      <c r="E65" s="96"/>
      <c r="F65" s="96"/>
      <c r="G65" s="96"/>
      <c r="H65" s="96"/>
      <c r="I65" s="98"/>
      <c r="J65" s="96"/>
      <c r="K65" s="96"/>
      <c r="L65" s="96"/>
      <c r="M65" s="96"/>
      <c r="N65" s="96"/>
      <c r="O65" s="96"/>
      <c r="P65" s="96"/>
      <c r="Q65" s="96"/>
      <c r="R65" s="97"/>
      <c r="S65" s="97"/>
      <c r="T65" s="96"/>
      <c r="U65" s="0" t="str">
        <f aca="true">IF(A65="","",IF(AND(R65&lt;&gt;"",R65&lt;=TODAY()+30,P65="Yes",Q65="Yes",N65&lt;&gt;"Do Not Contact"),1,0))</f>
        <v/>
      </c>
      <c r="V65" s="0" t="str">
        <f aca="false">IF(U65=1,COUNTIF($U$2:U65,1),"")</f>
        <v/>
      </c>
      <c r="W65" s="0" t="str">
        <f aca="false">IF(A65="","",A65&amp;" | "&amp;C65)</f>
        <v/>
      </c>
      <c r="X65" s="0" t="str">
        <f aca="true">IF(A65="","",IF(AND(R65&lt;&gt;"",P65="Yes",Q65="Yes",N65&lt;&gt;"Do Not Contact"),IF(INT(R65)=TODAY(),1,IF(INT(R65)=TODAY()+1,2,0)),0))</f>
        <v/>
      </c>
      <c r="Y65" s="0" t="str">
        <f aca="false">IF(OR(X65=1,X65=2),COUNTIF($X$2:X65,1)+COUNTIF($X$2:X65,2),"")</f>
        <v/>
      </c>
    </row>
    <row r="66" customFormat="false" ht="15" hidden="false" customHeight="false" outlineLevel="0" collapsed="false">
      <c r="A66" s="96"/>
      <c r="B66" s="97"/>
      <c r="C66" s="96"/>
      <c r="D66" s="96"/>
      <c r="E66" s="96"/>
      <c r="F66" s="96"/>
      <c r="G66" s="96"/>
      <c r="H66" s="96"/>
      <c r="I66" s="98"/>
      <c r="J66" s="96"/>
      <c r="K66" s="96"/>
      <c r="L66" s="96"/>
      <c r="M66" s="96"/>
      <c r="N66" s="96"/>
      <c r="O66" s="96"/>
      <c r="P66" s="96"/>
      <c r="Q66" s="96"/>
      <c r="R66" s="97"/>
      <c r="S66" s="97"/>
      <c r="T66" s="96"/>
      <c r="U66" s="0" t="str">
        <f aca="true">IF(A66="","",IF(AND(R66&lt;&gt;"",R66&lt;=TODAY()+30,P66="Yes",Q66="Yes",N66&lt;&gt;"Do Not Contact"),1,0))</f>
        <v/>
      </c>
      <c r="V66" s="0" t="str">
        <f aca="false">IF(U66=1,COUNTIF($U$2:U66,1),"")</f>
        <v/>
      </c>
      <c r="W66" s="0" t="str">
        <f aca="false">IF(A66="","",A66&amp;" | "&amp;C66)</f>
        <v/>
      </c>
      <c r="X66" s="0" t="str">
        <f aca="true">IF(A66="","",IF(AND(R66&lt;&gt;"",P66="Yes",Q66="Yes",N66&lt;&gt;"Do Not Contact"),IF(INT(R66)=TODAY(),1,IF(INT(R66)=TODAY()+1,2,0)),0))</f>
        <v/>
      </c>
      <c r="Y66" s="0" t="str">
        <f aca="false">IF(OR(X66=1,X66=2),COUNTIF($X$2:X66,1)+COUNTIF($X$2:X66,2),"")</f>
        <v/>
      </c>
    </row>
    <row r="67" customFormat="false" ht="15" hidden="false" customHeight="false" outlineLevel="0" collapsed="false">
      <c r="A67" s="96"/>
      <c r="B67" s="97"/>
      <c r="C67" s="96"/>
      <c r="D67" s="96"/>
      <c r="E67" s="96"/>
      <c r="F67" s="96"/>
      <c r="G67" s="96"/>
      <c r="H67" s="96"/>
      <c r="I67" s="98"/>
      <c r="J67" s="96"/>
      <c r="K67" s="96"/>
      <c r="L67" s="96"/>
      <c r="M67" s="96"/>
      <c r="N67" s="96"/>
      <c r="O67" s="96"/>
      <c r="P67" s="96"/>
      <c r="Q67" s="96"/>
      <c r="R67" s="97"/>
      <c r="S67" s="97"/>
      <c r="T67" s="96"/>
      <c r="U67" s="0" t="str">
        <f aca="true">IF(A67="","",IF(AND(R67&lt;&gt;"",R67&lt;=TODAY()+30,P67="Yes",Q67="Yes",N67&lt;&gt;"Do Not Contact"),1,0))</f>
        <v/>
      </c>
      <c r="V67" s="0" t="str">
        <f aca="false">IF(U67=1,COUNTIF($U$2:U67,1),"")</f>
        <v/>
      </c>
      <c r="W67" s="0" t="str">
        <f aca="false">IF(A67="","",A67&amp;" | "&amp;C67)</f>
        <v/>
      </c>
      <c r="X67" s="0" t="str">
        <f aca="true">IF(A67="","",IF(AND(R67&lt;&gt;"",P67="Yes",Q67="Yes",N67&lt;&gt;"Do Not Contact"),IF(INT(R67)=TODAY(),1,IF(INT(R67)=TODAY()+1,2,0)),0))</f>
        <v/>
      </c>
      <c r="Y67" s="0" t="str">
        <f aca="false">IF(OR(X67=1,X67=2),COUNTIF($X$2:X67,1)+COUNTIF($X$2:X67,2),"")</f>
        <v/>
      </c>
    </row>
    <row r="68" customFormat="false" ht="15" hidden="false" customHeight="false" outlineLevel="0" collapsed="false">
      <c r="A68" s="96"/>
      <c r="B68" s="97"/>
      <c r="C68" s="96"/>
      <c r="D68" s="96"/>
      <c r="E68" s="96"/>
      <c r="F68" s="96"/>
      <c r="G68" s="96"/>
      <c r="H68" s="96"/>
      <c r="I68" s="98"/>
      <c r="J68" s="96"/>
      <c r="K68" s="96"/>
      <c r="L68" s="96"/>
      <c r="M68" s="96"/>
      <c r="N68" s="96"/>
      <c r="O68" s="96"/>
      <c r="P68" s="96"/>
      <c r="Q68" s="96"/>
      <c r="R68" s="97"/>
      <c r="S68" s="97"/>
      <c r="T68" s="96"/>
      <c r="U68" s="0" t="str">
        <f aca="true">IF(A68="","",IF(AND(R68&lt;&gt;"",R68&lt;=TODAY()+30,P68="Yes",Q68="Yes",N68&lt;&gt;"Do Not Contact"),1,0))</f>
        <v/>
      </c>
      <c r="V68" s="0" t="str">
        <f aca="false">IF(U68=1,COUNTIF($U$2:U68,1),"")</f>
        <v/>
      </c>
      <c r="W68" s="0" t="str">
        <f aca="false">IF(A68="","",A68&amp;" | "&amp;C68)</f>
        <v/>
      </c>
      <c r="X68" s="0" t="str">
        <f aca="true">IF(A68="","",IF(AND(R68&lt;&gt;"",P68="Yes",Q68="Yes",N68&lt;&gt;"Do Not Contact"),IF(INT(R68)=TODAY(),1,IF(INT(R68)=TODAY()+1,2,0)),0))</f>
        <v/>
      </c>
      <c r="Y68" s="0" t="str">
        <f aca="false">IF(OR(X68=1,X68=2),COUNTIF($X$2:X68,1)+COUNTIF($X$2:X68,2),"")</f>
        <v/>
      </c>
    </row>
    <row r="69" customFormat="false" ht="15" hidden="false" customHeight="false" outlineLevel="0" collapsed="false">
      <c r="A69" s="96"/>
      <c r="B69" s="97"/>
      <c r="C69" s="96"/>
      <c r="D69" s="96"/>
      <c r="E69" s="96"/>
      <c r="F69" s="96"/>
      <c r="G69" s="96"/>
      <c r="H69" s="96"/>
      <c r="I69" s="98"/>
      <c r="J69" s="96"/>
      <c r="K69" s="96"/>
      <c r="L69" s="96"/>
      <c r="M69" s="96"/>
      <c r="N69" s="96"/>
      <c r="O69" s="96"/>
      <c r="P69" s="96"/>
      <c r="Q69" s="96"/>
      <c r="R69" s="97"/>
      <c r="S69" s="97"/>
      <c r="T69" s="96"/>
      <c r="U69" s="0" t="str">
        <f aca="true">IF(A69="","",IF(AND(R69&lt;&gt;"",R69&lt;=TODAY()+30,P69="Yes",Q69="Yes",N69&lt;&gt;"Do Not Contact"),1,0))</f>
        <v/>
      </c>
      <c r="V69" s="0" t="str">
        <f aca="false">IF(U69=1,COUNTIF($U$2:U69,1),"")</f>
        <v/>
      </c>
      <c r="W69" s="0" t="str">
        <f aca="false">IF(A69="","",A69&amp;" | "&amp;C69)</f>
        <v/>
      </c>
      <c r="X69" s="0" t="str">
        <f aca="true">IF(A69="","",IF(AND(R69&lt;&gt;"",P69="Yes",Q69="Yes",N69&lt;&gt;"Do Not Contact"),IF(INT(R69)=TODAY(),1,IF(INT(R69)=TODAY()+1,2,0)),0))</f>
        <v/>
      </c>
      <c r="Y69" s="0" t="str">
        <f aca="false">IF(OR(X69=1,X69=2),COUNTIF($X$2:X69,1)+COUNTIF($X$2:X69,2),"")</f>
        <v/>
      </c>
    </row>
    <row r="70" customFormat="false" ht="15" hidden="false" customHeight="false" outlineLevel="0" collapsed="false">
      <c r="A70" s="96"/>
      <c r="B70" s="97"/>
      <c r="C70" s="96"/>
      <c r="D70" s="96"/>
      <c r="E70" s="96"/>
      <c r="F70" s="96"/>
      <c r="G70" s="96"/>
      <c r="H70" s="96"/>
      <c r="I70" s="98"/>
      <c r="J70" s="96"/>
      <c r="K70" s="96"/>
      <c r="L70" s="96"/>
      <c r="M70" s="96"/>
      <c r="N70" s="96"/>
      <c r="O70" s="96"/>
      <c r="P70" s="96"/>
      <c r="Q70" s="96"/>
      <c r="R70" s="97"/>
      <c r="S70" s="97"/>
      <c r="T70" s="96"/>
      <c r="U70" s="0" t="str">
        <f aca="true">IF(A70="","",IF(AND(R70&lt;&gt;"",R70&lt;=TODAY()+30,P70="Yes",Q70="Yes",N70&lt;&gt;"Do Not Contact"),1,0))</f>
        <v/>
      </c>
      <c r="V70" s="0" t="str">
        <f aca="false">IF(U70=1,COUNTIF($U$2:U70,1),"")</f>
        <v/>
      </c>
      <c r="W70" s="0" t="str">
        <f aca="false">IF(A70="","",A70&amp;" | "&amp;C70)</f>
        <v/>
      </c>
      <c r="X70" s="0" t="str">
        <f aca="true">IF(A70="","",IF(AND(R70&lt;&gt;"",P70="Yes",Q70="Yes",N70&lt;&gt;"Do Not Contact"),IF(INT(R70)=TODAY(),1,IF(INT(R70)=TODAY()+1,2,0)),0))</f>
        <v/>
      </c>
      <c r="Y70" s="0" t="str">
        <f aca="false">IF(OR(X70=1,X70=2),COUNTIF($X$2:X70,1)+COUNTIF($X$2:X70,2),"")</f>
        <v/>
      </c>
    </row>
    <row r="71" customFormat="false" ht="15" hidden="false" customHeight="false" outlineLevel="0" collapsed="false">
      <c r="A71" s="96"/>
      <c r="B71" s="97"/>
      <c r="C71" s="96"/>
      <c r="D71" s="96"/>
      <c r="E71" s="96"/>
      <c r="F71" s="96"/>
      <c r="G71" s="96"/>
      <c r="H71" s="96"/>
      <c r="I71" s="98"/>
      <c r="J71" s="96"/>
      <c r="K71" s="96"/>
      <c r="L71" s="96"/>
      <c r="M71" s="96"/>
      <c r="N71" s="96"/>
      <c r="O71" s="96"/>
      <c r="P71" s="96"/>
      <c r="Q71" s="96"/>
      <c r="R71" s="97"/>
      <c r="S71" s="97"/>
      <c r="T71" s="96"/>
      <c r="U71" s="0" t="str">
        <f aca="true">IF(A71="","",IF(AND(R71&lt;&gt;"",R71&lt;=TODAY()+30,P71="Yes",Q71="Yes",N71&lt;&gt;"Do Not Contact"),1,0))</f>
        <v/>
      </c>
      <c r="V71" s="0" t="str">
        <f aca="false">IF(U71=1,COUNTIF($U$2:U71,1),"")</f>
        <v/>
      </c>
      <c r="W71" s="0" t="str">
        <f aca="false">IF(A71="","",A71&amp;" | "&amp;C71)</f>
        <v/>
      </c>
      <c r="X71" s="0" t="str">
        <f aca="true">IF(A71="","",IF(AND(R71&lt;&gt;"",P71="Yes",Q71="Yes",N71&lt;&gt;"Do Not Contact"),IF(INT(R71)=TODAY(),1,IF(INT(R71)=TODAY()+1,2,0)),0))</f>
        <v/>
      </c>
      <c r="Y71" s="0" t="str">
        <f aca="false">IF(OR(X71=1,X71=2),COUNTIF($X$2:X71,1)+COUNTIF($X$2:X71,2),"")</f>
        <v/>
      </c>
    </row>
    <row r="72" customFormat="false" ht="15" hidden="false" customHeight="false" outlineLevel="0" collapsed="false">
      <c r="A72" s="96"/>
      <c r="B72" s="97"/>
      <c r="C72" s="96"/>
      <c r="D72" s="96"/>
      <c r="E72" s="96"/>
      <c r="F72" s="96"/>
      <c r="G72" s="96"/>
      <c r="H72" s="96"/>
      <c r="I72" s="98"/>
      <c r="J72" s="96"/>
      <c r="K72" s="96"/>
      <c r="L72" s="96"/>
      <c r="M72" s="96"/>
      <c r="N72" s="96"/>
      <c r="O72" s="96"/>
      <c r="P72" s="96"/>
      <c r="Q72" s="96"/>
      <c r="R72" s="97"/>
      <c r="S72" s="97"/>
      <c r="T72" s="96"/>
      <c r="U72" s="0" t="str">
        <f aca="true">IF(A72="","",IF(AND(R72&lt;&gt;"",R72&lt;=TODAY()+30,P72="Yes",Q72="Yes",N72&lt;&gt;"Do Not Contact"),1,0))</f>
        <v/>
      </c>
      <c r="V72" s="0" t="str">
        <f aca="false">IF(U72=1,COUNTIF($U$2:U72,1),"")</f>
        <v/>
      </c>
      <c r="W72" s="0" t="str">
        <f aca="false">IF(A72="","",A72&amp;" | "&amp;C72)</f>
        <v/>
      </c>
      <c r="X72" s="0" t="str">
        <f aca="true">IF(A72="","",IF(AND(R72&lt;&gt;"",P72="Yes",Q72="Yes",N72&lt;&gt;"Do Not Contact"),IF(INT(R72)=TODAY(),1,IF(INT(R72)=TODAY()+1,2,0)),0))</f>
        <v/>
      </c>
      <c r="Y72" s="0" t="str">
        <f aca="false">IF(OR(X72=1,X72=2),COUNTIF($X$2:X72,1)+COUNTIF($X$2:X72,2),"")</f>
        <v/>
      </c>
    </row>
    <row r="73" customFormat="false" ht="15" hidden="false" customHeight="false" outlineLevel="0" collapsed="false">
      <c r="A73" s="96"/>
      <c r="B73" s="97"/>
      <c r="C73" s="96"/>
      <c r="D73" s="96"/>
      <c r="E73" s="96"/>
      <c r="F73" s="96"/>
      <c r="G73" s="96"/>
      <c r="H73" s="96"/>
      <c r="I73" s="98"/>
      <c r="J73" s="96"/>
      <c r="K73" s="96"/>
      <c r="L73" s="96"/>
      <c r="M73" s="96"/>
      <c r="N73" s="96"/>
      <c r="O73" s="96"/>
      <c r="P73" s="96"/>
      <c r="Q73" s="96"/>
      <c r="R73" s="97"/>
      <c r="S73" s="97"/>
      <c r="T73" s="96"/>
      <c r="U73" s="0" t="str">
        <f aca="true">IF(A73="","",IF(AND(R73&lt;&gt;"",R73&lt;=TODAY()+30,P73="Yes",Q73="Yes",N73&lt;&gt;"Do Not Contact"),1,0))</f>
        <v/>
      </c>
      <c r="V73" s="0" t="str">
        <f aca="false">IF(U73=1,COUNTIF($U$2:U73,1),"")</f>
        <v/>
      </c>
      <c r="W73" s="0" t="str">
        <f aca="false">IF(A73="","",A73&amp;" | "&amp;C73)</f>
        <v/>
      </c>
      <c r="X73" s="0" t="str">
        <f aca="true">IF(A73="","",IF(AND(R73&lt;&gt;"",P73="Yes",Q73="Yes",N73&lt;&gt;"Do Not Contact"),IF(INT(R73)=TODAY(),1,IF(INT(R73)=TODAY()+1,2,0)),0))</f>
        <v/>
      </c>
      <c r="Y73" s="0" t="str">
        <f aca="false">IF(OR(X73=1,X73=2),COUNTIF($X$2:X73,1)+COUNTIF($X$2:X73,2),"")</f>
        <v/>
      </c>
    </row>
    <row r="74" customFormat="false" ht="15" hidden="false" customHeight="false" outlineLevel="0" collapsed="false">
      <c r="A74" s="96"/>
      <c r="B74" s="97"/>
      <c r="C74" s="96"/>
      <c r="D74" s="96"/>
      <c r="E74" s="96"/>
      <c r="F74" s="96"/>
      <c r="G74" s="96"/>
      <c r="H74" s="96"/>
      <c r="I74" s="98"/>
      <c r="J74" s="96"/>
      <c r="K74" s="96"/>
      <c r="L74" s="96"/>
      <c r="M74" s="96"/>
      <c r="N74" s="96"/>
      <c r="O74" s="96"/>
      <c r="P74" s="96"/>
      <c r="Q74" s="96"/>
      <c r="R74" s="97"/>
      <c r="S74" s="97"/>
      <c r="T74" s="96"/>
      <c r="U74" s="0" t="str">
        <f aca="true">IF(A74="","",IF(AND(R74&lt;&gt;"",R74&lt;=TODAY()+30,P74="Yes",Q74="Yes",N74&lt;&gt;"Do Not Contact"),1,0))</f>
        <v/>
      </c>
      <c r="V74" s="0" t="str">
        <f aca="false">IF(U74=1,COUNTIF($U$2:U74,1),"")</f>
        <v/>
      </c>
      <c r="W74" s="0" t="str">
        <f aca="false">IF(A74="","",A74&amp;" | "&amp;C74)</f>
        <v/>
      </c>
      <c r="X74" s="0" t="str">
        <f aca="true">IF(A74="","",IF(AND(R74&lt;&gt;"",P74="Yes",Q74="Yes",N74&lt;&gt;"Do Not Contact"),IF(INT(R74)=TODAY(),1,IF(INT(R74)=TODAY()+1,2,0)),0))</f>
        <v/>
      </c>
      <c r="Y74" s="0" t="str">
        <f aca="false">IF(OR(X74=1,X74=2),COUNTIF($X$2:X74,1)+COUNTIF($X$2:X74,2),"")</f>
        <v/>
      </c>
    </row>
    <row r="75" customFormat="false" ht="15" hidden="false" customHeight="false" outlineLevel="0" collapsed="false">
      <c r="A75" s="96"/>
      <c r="B75" s="97"/>
      <c r="C75" s="96"/>
      <c r="D75" s="96"/>
      <c r="E75" s="96"/>
      <c r="F75" s="96"/>
      <c r="G75" s="96"/>
      <c r="H75" s="96"/>
      <c r="I75" s="98"/>
      <c r="J75" s="96"/>
      <c r="K75" s="96"/>
      <c r="L75" s="96"/>
      <c r="M75" s="96"/>
      <c r="N75" s="96"/>
      <c r="O75" s="96"/>
      <c r="P75" s="96"/>
      <c r="Q75" s="96"/>
      <c r="R75" s="97"/>
      <c r="S75" s="97"/>
      <c r="T75" s="96"/>
      <c r="U75" s="0" t="str">
        <f aca="true">IF(A75="","",IF(AND(R75&lt;&gt;"",R75&lt;=TODAY()+30,P75="Yes",Q75="Yes",N75&lt;&gt;"Do Not Contact"),1,0))</f>
        <v/>
      </c>
      <c r="V75" s="0" t="str">
        <f aca="false">IF(U75=1,COUNTIF($U$2:U75,1),"")</f>
        <v/>
      </c>
      <c r="W75" s="0" t="str">
        <f aca="false">IF(A75="","",A75&amp;" | "&amp;C75)</f>
        <v/>
      </c>
      <c r="X75" s="0" t="str">
        <f aca="true">IF(A75="","",IF(AND(R75&lt;&gt;"",P75="Yes",Q75="Yes",N75&lt;&gt;"Do Not Contact"),IF(INT(R75)=TODAY(),1,IF(INT(R75)=TODAY()+1,2,0)),0))</f>
        <v/>
      </c>
      <c r="Y75" s="0" t="str">
        <f aca="false">IF(OR(X75=1,X75=2),COUNTIF($X$2:X75,1)+COUNTIF($X$2:X75,2),"")</f>
        <v/>
      </c>
    </row>
    <row r="76" customFormat="false" ht="15" hidden="false" customHeight="false" outlineLevel="0" collapsed="false">
      <c r="A76" s="96"/>
      <c r="B76" s="97"/>
      <c r="C76" s="96"/>
      <c r="D76" s="96"/>
      <c r="E76" s="96"/>
      <c r="F76" s="96"/>
      <c r="G76" s="96"/>
      <c r="H76" s="96"/>
      <c r="I76" s="98"/>
      <c r="J76" s="96"/>
      <c r="K76" s="96"/>
      <c r="L76" s="96"/>
      <c r="M76" s="96"/>
      <c r="N76" s="96"/>
      <c r="O76" s="96"/>
      <c r="P76" s="96"/>
      <c r="Q76" s="96"/>
      <c r="R76" s="97"/>
      <c r="S76" s="97"/>
      <c r="T76" s="96"/>
      <c r="U76" s="0" t="str">
        <f aca="true">IF(A76="","",IF(AND(R76&lt;&gt;"",R76&lt;=TODAY()+30,P76="Yes",Q76="Yes",N76&lt;&gt;"Do Not Contact"),1,0))</f>
        <v/>
      </c>
      <c r="V76" s="0" t="str">
        <f aca="false">IF(U76=1,COUNTIF($U$2:U76,1),"")</f>
        <v/>
      </c>
      <c r="W76" s="0" t="str">
        <f aca="false">IF(A76="","",A76&amp;" | "&amp;C76)</f>
        <v/>
      </c>
      <c r="X76" s="0" t="str">
        <f aca="true">IF(A76="","",IF(AND(R76&lt;&gt;"",P76="Yes",Q76="Yes",N76&lt;&gt;"Do Not Contact"),IF(INT(R76)=TODAY(),1,IF(INT(R76)=TODAY()+1,2,0)),0))</f>
        <v/>
      </c>
      <c r="Y76" s="0" t="str">
        <f aca="false">IF(OR(X76=1,X76=2),COUNTIF($X$2:X76,1)+COUNTIF($X$2:X76,2),"")</f>
        <v/>
      </c>
    </row>
    <row r="77" customFormat="false" ht="15" hidden="false" customHeight="false" outlineLevel="0" collapsed="false">
      <c r="A77" s="96"/>
      <c r="B77" s="97"/>
      <c r="C77" s="96"/>
      <c r="D77" s="96"/>
      <c r="E77" s="96"/>
      <c r="F77" s="96"/>
      <c r="G77" s="96"/>
      <c r="H77" s="96"/>
      <c r="I77" s="98"/>
      <c r="J77" s="96"/>
      <c r="K77" s="96"/>
      <c r="L77" s="96"/>
      <c r="M77" s="96"/>
      <c r="N77" s="96"/>
      <c r="O77" s="96"/>
      <c r="P77" s="96"/>
      <c r="Q77" s="96"/>
      <c r="R77" s="97"/>
      <c r="S77" s="97"/>
      <c r="T77" s="96"/>
      <c r="U77" s="0" t="str">
        <f aca="true">IF(A77="","",IF(AND(R77&lt;&gt;"",R77&lt;=TODAY()+30,P77="Yes",Q77="Yes",N77&lt;&gt;"Do Not Contact"),1,0))</f>
        <v/>
      </c>
      <c r="V77" s="0" t="str">
        <f aca="false">IF(U77=1,COUNTIF($U$2:U77,1),"")</f>
        <v/>
      </c>
      <c r="W77" s="0" t="str">
        <f aca="false">IF(A77="","",A77&amp;" | "&amp;C77)</f>
        <v/>
      </c>
      <c r="X77" s="0" t="str">
        <f aca="true">IF(A77="","",IF(AND(R77&lt;&gt;"",P77="Yes",Q77="Yes",N77&lt;&gt;"Do Not Contact"),IF(INT(R77)=TODAY(),1,IF(INT(R77)=TODAY()+1,2,0)),0))</f>
        <v/>
      </c>
      <c r="Y77" s="0" t="str">
        <f aca="false">IF(OR(X77=1,X77=2),COUNTIF($X$2:X77,1)+COUNTIF($X$2:X77,2),"")</f>
        <v/>
      </c>
    </row>
    <row r="78" customFormat="false" ht="15" hidden="false" customHeight="false" outlineLevel="0" collapsed="false">
      <c r="A78" s="96"/>
      <c r="B78" s="97"/>
      <c r="C78" s="96"/>
      <c r="D78" s="96"/>
      <c r="E78" s="96"/>
      <c r="F78" s="96"/>
      <c r="G78" s="96"/>
      <c r="H78" s="96"/>
      <c r="I78" s="98"/>
      <c r="J78" s="96"/>
      <c r="K78" s="96"/>
      <c r="L78" s="96"/>
      <c r="M78" s="96"/>
      <c r="N78" s="96"/>
      <c r="O78" s="96"/>
      <c r="P78" s="96"/>
      <c r="Q78" s="96"/>
      <c r="R78" s="97"/>
      <c r="S78" s="97"/>
      <c r="T78" s="96"/>
      <c r="U78" s="0" t="str">
        <f aca="true">IF(A78="","",IF(AND(R78&lt;&gt;"",R78&lt;=TODAY()+30,P78="Yes",Q78="Yes",N78&lt;&gt;"Do Not Contact"),1,0))</f>
        <v/>
      </c>
      <c r="V78" s="0" t="str">
        <f aca="false">IF(U78=1,COUNTIF($U$2:U78,1),"")</f>
        <v/>
      </c>
      <c r="W78" s="0" t="str">
        <f aca="false">IF(A78="","",A78&amp;" | "&amp;C78)</f>
        <v/>
      </c>
      <c r="X78" s="0" t="str">
        <f aca="true">IF(A78="","",IF(AND(R78&lt;&gt;"",P78="Yes",Q78="Yes",N78&lt;&gt;"Do Not Contact"),IF(INT(R78)=TODAY(),1,IF(INT(R78)=TODAY()+1,2,0)),0))</f>
        <v/>
      </c>
      <c r="Y78" s="0" t="str">
        <f aca="false">IF(OR(X78=1,X78=2),COUNTIF($X$2:X78,1)+COUNTIF($X$2:X78,2),"")</f>
        <v/>
      </c>
    </row>
    <row r="79" customFormat="false" ht="15" hidden="false" customHeight="false" outlineLevel="0" collapsed="false">
      <c r="A79" s="96"/>
      <c r="B79" s="97"/>
      <c r="C79" s="96"/>
      <c r="D79" s="96"/>
      <c r="E79" s="96"/>
      <c r="F79" s="96"/>
      <c r="G79" s="96"/>
      <c r="H79" s="96"/>
      <c r="I79" s="98"/>
      <c r="J79" s="96"/>
      <c r="K79" s="96"/>
      <c r="L79" s="96"/>
      <c r="M79" s="96"/>
      <c r="N79" s="96"/>
      <c r="O79" s="96"/>
      <c r="P79" s="96"/>
      <c r="Q79" s="96"/>
      <c r="R79" s="97"/>
      <c r="S79" s="97"/>
      <c r="T79" s="96"/>
      <c r="U79" s="0" t="str">
        <f aca="true">IF(A79="","",IF(AND(R79&lt;&gt;"",R79&lt;=TODAY()+30,P79="Yes",Q79="Yes",N79&lt;&gt;"Do Not Contact"),1,0))</f>
        <v/>
      </c>
      <c r="V79" s="0" t="str">
        <f aca="false">IF(U79=1,COUNTIF($U$2:U79,1),"")</f>
        <v/>
      </c>
      <c r="W79" s="0" t="str">
        <f aca="false">IF(A79="","",A79&amp;" | "&amp;C79)</f>
        <v/>
      </c>
      <c r="X79" s="0" t="str">
        <f aca="true">IF(A79="","",IF(AND(R79&lt;&gt;"",P79="Yes",Q79="Yes",N79&lt;&gt;"Do Not Contact"),IF(INT(R79)=TODAY(),1,IF(INT(R79)=TODAY()+1,2,0)),0))</f>
        <v/>
      </c>
      <c r="Y79" s="0" t="str">
        <f aca="false">IF(OR(X79=1,X79=2),COUNTIF($X$2:X79,1)+COUNTIF($X$2:X79,2),"")</f>
        <v/>
      </c>
    </row>
    <row r="80" customFormat="false" ht="15" hidden="false" customHeight="false" outlineLevel="0" collapsed="false">
      <c r="A80" s="96"/>
      <c r="B80" s="97"/>
      <c r="C80" s="96"/>
      <c r="D80" s="96"/>
      <c r="E80" s="96"/>
      <c r="F80" s="96"/>
      <c r="G80" s="96"/>
      <c r="H80" s="96"/>
      <c r="I80" s="98"/>
      <c r="J80" s="96"/>
      <c r="K80" s="96"/>
      <c r="L80" s="96"/>
      <c r="M80" s="96"/>
      <c r="N80" s="96"/>
      <c r="O80" s="96"/>
      <c r="P80" s="96"/>
      <c r="Q80" s="96"/>
      <c r="R80" s="97"/>
      <c r="S80" s="97"/>
      <c r="T80" s="96"/>
      <c r="U80" s="0" t="str">
        <f aca="true">IF(A80="","",IF(AND(R80&lt;&gt;"",R80&lt;=TODAY()+30,P80="Yes",Q80="Yes",N80&lt;&gt;"Do Not Contact"),1,0))</f>
        <v/>
      </c>
      <c r="V80" s="0" t="str">
        <f aca="false">IF(U80=1,COUNTIF($U$2:U80,1),"")</f>
        <v/>
      </c>
      <c r="W80" s="0" t="str">
        <f aca="false">IF(A80="","",A80&amp;" | "&amp;C80)</f>
        <v/>
      </c>
      <c r="X80" s="0" t="str">
        <f aca="true">IF(A80="","",IF(AND(R80&lt;&gt;"",P80="Yes",Q80="Yes",N80&lt;&gt;"Do Not Contact"),IF(INT(R80)=TODAY(),1,IF(INT(R80)=TODAY()+1,2,0)),0))</f>
        <v/>
      </c>
      <c r="Y80" s="0" t="str">
        <f aca="false">IF(OR(X80=1,X80=2),COUNTIF($X$2:X80,1)+COUNTIF($X$2:X80,2),"")</f>
        <v/>
      </c>
    </row>
    <row r="81" customFormat="false" ht="15" hidden="false" customHeight="false" outlineLevel="0" collapsed="false">
      <c r="A81" s="96"/>
      <c r="B81" s="97"/>
      <c r="C81" s="96"/>
      <c r="D81" s="96"/>
      <c r="E81" s="96"/>
      <c r="F81" s="96"/>
      <c r="G81" s="96"/>
      <c r="H81" s="96"/>
      <c r="I81" s="98"/>
      <c r="J81" s="96"/>
      <c r="K81" s="96"/>
      <c r="L81" s="96"/>
      <c r="M81" s="96"/>
      <c r="N81" s="96"/>
      <c r="O81" s="96"/>
      <c r="P81" s="96"/>
      <c r="Q81" s="96"/>
      <c r="R81" s="97"/>
      <c r="S81" s="97"/>
      <c r="T81" s="96"/>
      <c r="U81" s="0" t="str">
        <f aca="true">IF(A81="","",IF(AND(R81&lt;&gt;"",R81&lt;=TODAY()+30,P81="Yes",Q81="Yes",N81&lt;&gt;"Do Not Contact"),1,0))</f>
        <v/>
      </c>
      <c r="V81" s="0" t="str">
        <f aca="false">IF(U81=1,COUNTIF($U$2:U81,1),"")</f>
        <v/>
      </c>
      <c r="W81" s="0" t="str">
        <f aca="false">IF(A81="","",A81&amp;" | "&amp;C81)</f>
        <v/>
      </c>
      <c r="X81" s="0" t="str">
        <f aca="true">IF(A81="","",IF(AND(R81&lt;&gt;"",P81="Yes",Q81="Yes",N81&lt;&gt;"Do Not Contact"),IF(INT(R81)=TODAY(),1,IF(INT(R81)=TODAY()+1,2,0)),0))</f>
        <v/>
      </c>
      <c r="Y81" s="0" t="str">
        <f aca="false">IF(OR(X81=1,X81=2),COUNTIF($X$2:X81,1)+COUNTIF($X$2:X81,2),"")</f>
        <v/>
      </c>
    </row>
    <row r="82" customFormat="false" ht="15" hidden="false" customHeight="false" outlineLevel="0" collapsed="false">
      <c r="A82" s="96"/>
      <c r="B82" s="97"/>
      <c r="C82" s="96"/>
      <c r="D82" s="96"/>
      <c r="E82" s="96"/>
      <c r="F82" s="96"/>
      <c r="G82" s="96"/>
      <c r="H82" s="96"/>
      <c r="I82" s="98"/>
      <c r="J82" s="96"/>
      <c r="K82" s="96"/>
      <c r="L82" s="96"/>
      <c r="M82" s="96"/>
      <c r="N82" s="96"/>
      <c r="O82" s="96"/>
      <c r="P82" s="96"/>
      <c r="Q82" s="96"/>
      <c r="R82" s="97"/>
      <c r="S82" s="97"/>
      <c r="T82" s="96"/>
      <c r="U82" s="0" t="str">
        <f aca="true">IF(A82="","",IF(AND(R82&lt;&gt;"",R82&lt;=TODAY()+30,P82="Yes",Q82="Yes",N82&lt;&gt;"Do Not Contact"),1,0))</f>
        <v/>
      </c>
      <c r="V82" s="0" t="str">
        <f aca="false">IF(U82=1,COUNTIF($U$2:U82,1),"")</f>
        <v/>
      </c>
      <c r="W82" s="0" t="str">
        <f aca="false">IF(A82="","",A82&amp;" | "&amp;C82)</f>
        <v/>
      </c>
      <c r="X82" s="0" t="str">
        <f aca="true">IF(A82="","",IF(AND(R82&lt;&gt;"",P82="Yes",Q82="Yes",N82&lt;&gt;"Do Not Contact"),IF(INT(R82)=TODAY(),1,IF(INT(R82)=TODAY()+1,2,0)),0))</f>
        <v/>
      </c>
      <c r="Y82" s="0" t="str">
        <f aca="false">IF(OR(X82=1,X82=2),COUNTIF($X$2:X82,1)+COUNTIF($X$2:X82,2),"")</f>
        <v/>
      </c>
    </row>
    <row r="83" customFormat="false" ht="15" hidden="false" customHeight="false" outlineLevel="0" collapsed="false">
      <c r="A83" s="96"/>
      <c r="B83" s="97"/>
      <c r="C83" s="96"/>
      <c r="D83" s="96"/>
      <c r="E83" s="96"/>
      <c r="F83" s="96"/>
      <c r="G83" s="96"/>
      <c r="H83" s="96"/>
      <c r="I83" s="98"/>
      <c r="J83" s="96"/>
      <c r="K83" s="96"/>
      <c r="L83" s="96"/>
      <c r="M83" s="96"/>
      <c r="N83" s="96"/>
      <c r="O83" s="96"/>
      <c r="P83" s="96"/>
      <c r="Q83" s="96"/>
      <c r="R83" s="97"/>
      <c r="S83" s="97"/>
      <c r="T83" s="96"/>
      <c r="U83" s="0" t="str">
        <f aca="true">IF(A83="","",IF(AND(R83&lt;&gt;"",R83&lt;=TODAY()+30,P83="Yes",Q83="Yes",N83&lt;&gt;"Do Not Contact"),1,0))</f>
        <v/>
      </c>
      <c r="V83" s="0" t="str">
        <f aca="false">IF(U83=1,COUNTIF($U$2:U83,1),"")</f>
        <v/>
      </c>
      <c r="W83" s="0" t="str">
        <f aca="false">IF(A83="","",A83&amp;" | "&amp;C83)</f>
        <v/>
      </c>
      <c r="X83" s="0" t="str">
        <f aca="true">IF(A83="","",IF(AND(R83&lt;&gt;"",P83="Yes",Q83="Yes",N83&lt;&gt;"Do Not Contact"),IF(INT(R83)=TODAY(),1,IF(INT(R83)=TODAY()+1,2,0)),0))</f>
        <v/>
      </c>
      <c r="Y83" s="0" t="str">
        <f aca="false">IF(OR(X83=1,X83=2),COUNTIF($X$2:X83,1)+COUNTIF($X$2:X83,2),"")</f>
        <v/>
      </c>
    </row>
    <row r="84" customFormat="false" ht="15" hidden="false" customHeight="false" outlineLevel="0" collapsed="false">
      <c r="A84" s="96"/>
      <c r="B84" s="97"/>
      <c r="C84" s="96"/>
      <c r="D84" s="96"/>
      <c r="E84" s="96"/>
      <c r="F84" s="96"/>
      <c r="G84" s="96"/>
      <c r="H84" s="96"/>
      <c r="I84" s="98"/>
      <c r="J84" s="96"/>
      <c r="K84" s="96"/>
      <c r="L84" s="96"/>
      <c r="M84" s="96"/>
      <c r="N84" s="96"/>
      <c r="O84" s="96"/>
      <c r="P84" s="96"/>
      <c r="Q84" s="96"/>
      <c r="R84" s="97"/>
      <c r="S84" s="97"/>
      <c r="T84" s="96"/>
      <c r="U84" s="0" t="str">
        <f aca="true">IF(A84="","",IF(AND(R84&lt;&gt;"",R84&lt;=TODAY()+30,P84="Yes",Q84="Yes",N84&lt;&gt;"Do Not Contact"),1,0))</f>
        <v/>
      </c>
      <c r="V84" s="0" t="str">
        <f aca="false">IF(U84=1,COUNTIF($U$2:U84,1),"")</f>
        <v/>
      </c>
      <c r="W84" s="0" t="str">
        <f aca="false">IF(A84="","",A84&amp;" | "&amp;C84)</f>
        <v/>
      </c>
      <c r="X84" s="0" t="str">
        <f aca="true">IF(A84="","",IF(AND(R84&lt;&gt;"",P84="Yes",Q84="Yes",N84&lt;&gt;"Do Not Contact"),IF(INT(R84)=TODAY(),1,IF(INT(R84)=TODAY()+1,2,0)),0))</f>
        <v/>
      </c>
      <c r="Y84" s="0" t="str">
        <f aca="false">IF(OR(X84=1,X84=2),COUNTIF($X$2:X84,1)+COUNTIF($X$2:X84,2),"")</f>
        <v/>
      </c>
    </row>
    <row r="85" customFormat="false" ht="15" hidden="false" customHeight="false" outlineLevel="0" collapsed="false">
      <c r="A85" s="96"/>
      <c r="B85" s="97"/>
      <c r="C85" s="96"/>
      <c r="D85" s="96"/>
      <c r="E85" s="96"/>
      <c r="F85" s="96"/>
      <c r="G85" s="96"/>
      <c r="H85" s="96"/>
      <c r="I85" s="98"/>
      <c r="J85" s="96"/>
      <c r="K85" s="96"/>
      <c r="L85" s="96"/>
      <c r="M85" s="96"/>
      <c r="N85" s="96"/>
      <c r="O85" s="96"/>
      <c r="P85" s="96"/>
      <c r="Q85" s="96"/>
      <c r="R85" s="97"/>
      <c r="S85" s="97"/>
      <c r="T85" s="96"/>
      <c r="U85" s="0" t="str">
        <f aca="true">IF(A85="","",IF(AND(R85&lt;&gt;"",R85&lt;=TODAY()+30,P85="Yes",Q85="Yes",N85&lt;&gt;"Do Not Contact"),1,0))</f>
        <v/>
      </c>
      <c r="V85" s="0" t="str">
        <f aca="false">IF(U85=1,COUNTIF($U$2:U85,1),"")</f>
        <v/>
      </c>
      <c r="W85" s="0" t="str">
        <f aca="false">IF(A85="","",A85&amp;" | "&amp;C85)</f>
        <v/>
      </c>
      <c r="X85" s="0" t="str">
        <f aca="true">IF(A85="","",IF(AND(R85&lt;&gt;"",P85="Yes",Q85="Yes",N85&lt;&gt;"Do Not Contact"),IF(INT(R85)=TODAY(),1,IF(INT(R85)=TODAY()+1,2,0)),0))</f>
        <v/>
      </c>
      <c r="Y85" s="0" t="str">
        <f aca="false">IF(OR(X85=1,X85=2),COUNTIF($X$2:X85,1)+COUNTIF($X$2:X85,2),"")</f>
        <v/>
      </c>
    </row>
    <row r="86" customFormat="false" ht="15" hidden="false" customHeight="false" outlineLevel="0" collapsed="false">
      <c r="A86" s="96"/>
      <c r="B86" s="97"/>
      <c r="C86" s="96"/>
      <c r="D86" s="96"/>
      <c r="E86" s="96"/>
      <c r="F86" s="96"/>
      <c r="G86" s="96"/>
      <c r="H86" s="96"/>
      <c r="I86" s="98"/>
      <c r="J86" s="96"/>
      <c r="K86" s="96"/>
      <c r="L86" s="96"/>
      <c r="M86" s="96"/>
      <c r="N86" s="96"/>
      <c r="O86" s="96"/>
      <c r="P86" s="96"/>
      <c r="Q86" s="96"/>
      <c r="R86" s="97"/>
      <c r="S86" s="97"/>
      <c r="T86" s="96"/>
      <c r="U86" s="0" t="str">
        <f aca="true">IF(A86="","",IF(AND(R86&lt;&gt;"",R86&lt;=TODAY()+30,P86="Yes",Q86="Yes",N86&lt;&gt;"Do Not Contact"),1,0))</f>
        <v/>
      </c>
      <c r="V86" s="0" t="str">
        <f aca="false">IF(U86=1,COUNTIF($U$2:U86,1),"")</f>
        <v/>
      </c>
      <c r="W86" s="0" t="str">
        <f aca="false">IF(A86="","",A86&amp;" | "&amp;C86)</f>
        <v/>
      </c>
      <c r="X86" s="0" t="str">
        <f aca="true">IF(A86="","",IF(AND(R86&lt;&gt;"",P86="Yes",Q86="Yes",N86&lt;&gt;"Do Not Contact"),IF(INT(R86)=TODAY(),1,IF(INT(R86)=TODAY()+1,2,0)),0))</f>
        <v/>
      </c>
      <c r="Y86" s="0" t="str">
        <f aca="false">IF(OR(X86=1,X86=2),COUNTIF($X$2:X86,1)+COUNTIF($X$2:X86,2),"")</f>
        <v/>
      </c>
    </row>
    <row r="87" customFormat="false" ht="15" hidden="false" customHeight="false" outlineLevel="0" collapsed="false">
      <c r="A87" s="96"/>
      <c r="B87" s="97"/>
      <c r="C87" s="96"/>
      <c r="D87" s="96"/>
      <c r="E87" s="96"/>
      <c r="F87" s="96"/>
      <c r="G87" s="96"/>
      <c r="H87" s="96"/>
      <c r="I87" s="98"/>
      <c r="J87" s="96"/>
      <c r="K87" s="96"/>
      <c r="L87" s="96"/>
      <c r="M87" s="96"/>
      <c r="N87" s="96"/>
      <c r="O87" s="96"/>
      <c r="P87" s="96"/>
      <c r="Q87" s="96"/>
      <c r="R87" s="97"/>
      <c r="S87" s="97"/>
      <c r="T87" s="96"/>
      <c r="U87" s="0" t="str">
        <f aca="true">IF(A87="","",IF(AND(R87&lt;&gt;"",R87&lt;=TODAY()+30,P87="Yes",Q87="Yes",N87&lt;&gt;"Do Not Contact"),1,0))</f>
        <v/>
      </c>
      <c r="V87" s="0" t="str">
        <f aca="false">IF(U87=1,COUNTIF($U$2:U87,1),"")</f>
        <v/>
      </c>
      <c r="W87" s="0" t="str">
        <f aca="false">IF(A87="","",A87&amp;" | "&amp;C87)</f>
        <v/>
      </c>
      <c r="X87" s="0" t="str">
        <f aca="true">IF(A87="","",IF(AND(R87&lt;&gt;"",P87="Yes",Q87="Yes",N87&lt;&gt;"Do Not Contact"),IF(INT(R87)=TODAY(),1,IF(INT(R87)=TODAY()+1,2,0)),0))</f>
        <v/>
      </c>
      <c r="Y87" s="0" t="str">
        <f aca="false">IF(OR(X87=1,X87=2),COUNTIF($X$2:X87,1)+COUNTIF($X$2:X87,2),"")</f>
        <v/>
      </c>
    </row>
    <row r="88" customFormat="false" ht="15" hidden="false" customHeight="false" outlineLevel="0" collapsed="false">
      <c r="A88" s="96"/>
      <c r="B88" s="97"/>
      <c r="C88" s="96"/>
      <c r="D88" s="96"/>
      <c r="E88" s="96"/>
      <c r="F88" s="96"/>
      <c r="G88" s="96"/>
      <c r="H88" s="96"/>
      <c r="I88" s="98"/>
      <c r="J88" s="96"/>
      <c r="K88" s="96"/>
      <c r="L88" s="96"/>
      <c r="M88" s="96"/>
      <c r="N88" s="96"/>
      <c r="O88" s="96"/>
      <c r="P88" s="96"/>
      <c r="Q88" s="96"/>
      <c r="R88" s="97"/>
      <c r="S88" s="97"/>
      <c r="T88" s="96"/>
      <c r="U88" s="0" t="str">
        <f aca="true">IF(A88="","",IF(AND(R88&lt;&gt;"",R88&lt;=TODAY()+30,P88="Yes",Q88="Yes",N88&lt;&gt;"Do Not Contact"),1,0))</f>
        <v/>
      </c>
      <c r="V88" s="0" t="str">
        <f aca="false">IF(U88=1,COUNTIF($U$2:U88,1),"")</f>
        <v/>
      </c>
      <c r="W88" s="0" t="str">
        <f aca="false">IF(A88="","",A88&amp;" | "&amp;C88)</f>
        <v/>
      </c>
      <c r="X88" s="0" t="str">
        <f aca="true">IF(A88="","",IF(AND(R88&lt;&gt;"",P88="Yes",Q88="Yes",N88&lt;&gt;"Do Not Contact"),IF(INT(R88)=TODAY(),1,IF(INT(R88)=TODAY()+1,2,0)),0))</f>
        <v/>
      </c>
      <c r="Y88" s="0" t="str">
        <f aca="false">IF(OR(X88=1,X88=2),COUNTIF($X$2:X88,1)+COUNTIF($X$2:X88,2),"")</f>
        <v/>
      </c>
    </row>
    <row r="89" customFormat="false" ht="15" hidden="false" customHeight="false" outlineLevel="0" collapsed="false">
      <c r="A89" s="96"/>
      <c r="B89" s="97"/>
      <c r="C89" s="96"/>
      <c r="D89" s="96"/>
      <c r="E89" s="96"/>
      <c r="F89" s="96"/>
      <c r="G89" s="96"/>
      <c r="H89" s="96"/>
      <c r="I89" s="98"/>
      <c r="J89" s="96"/>
      <c r="K89" s="96"/>
      <c r="L89" s="96"/>
      <c r="M89" s="96"/>
      <c r="N89" s="96"/>
      <c r="O89" s="96"/>
      <c r="P89" s="96"/>
      <c r="Q89" s="96"/>
      <c r="R89" s="97"/>
      <c r="S89" s="97"/>
      <c r="T89" s="96"/>
      <c r="U89" s="0" t="str">
        <f aca="true">IF(A89="","",IF(AND(R89&lt;&gt;"",R89&lt;=TODAY()+30,P89="Yes",Q89="Yes",N89&lt;&gt;"Do Not Contact"),1,0))</f>
        <v/>
      </c>
      <c r="V89" s="0" t="str">
        <f aca="false">IF(U89=1,COUNTIF($U$2:U89,1),"")</f>
        <v/>
      </c>
      <c r="W89" s="0" t="str">
        <f aca="false">IF(A89="","",A89&amp;" | "&amp;C89)</f>
        <v/>
      </c>
      <c r="X89" s="0" t="str">
        <f aca="true">IF(A89="","",IF(AND(R89&lt;&gt;"",P89="Yes",Q89="Yes",N89&lt;&gt;"Do Not Contact"),IF(INT(R89)=TODAY(),1,IF(INT(R89)=TODAY()+1,2,0)),0))</f>
        <v/>
      </c>
      <c r="Y89" s="0" t="str">
        <f aca="false">IF(OR(X89=1,X89=2),COUNTIF($X$2:X89,1)+COUNTIF($X$2:X89,2),"")</f>
        <v/>
      </c>
    </row>
    <row r="90" customFormat="false" ht="15" hidden="false" customHeight="false" outlineLevel="0" collapsed="false">
      <c r="A90" s="96"/>
      <c r="B90" s="97"/>
      <c r="C90" s="96"/>
      <c r="D90" s="96"/>
      <c r="E90" s="96"/>
      <c r="F90" s="96"/>
      <c r="G90" s="96"/>
      <c r="H90" s="96"/>
      <c r="I90" s="98"/>
      <c r="J90" s="96"/>
      <c r="K90" s="96"/>
      <c r="L90" s="96"/>
      <c r="M90" s="96"/>
      <c r="N90" s="96"/>
      <c r="O90" s="96"/>
      <c r="P90" s="96"/>
      <c r="Q90" s="96"/>
      <c r="R90" s="97"/>
      <c r="S90" s="97"/>
      <c r="T90" s="96"/>
      <c r="U90" s="0" t="str">
        <f aca="true">IF(A90="","",IF(AND(R90&lt;&gt;"",R90&lt;=TODAY()+30,P90="Yes",Q90="Yes",N90&lt;&gt;"Do Not Contact"),1,0))</f>
        <v/>
      </c>
      <c r="V90" s="0" t="str">
        <f aca="false">IF(U90=1,COUNTIF($U$2:U90,1),"")</f>
        <v/>
      </c>
      <c r="W90" s="0" t="str">
        <f aca="false">IF(A90="","",A90&amp;" | "&amp;C90)</f>
        <v/>
      </c>
      <c r="X90" s="0" t="str">
        <f aca="true">IF(A90="","",IF(AND(R90&lt;&gt;"",P90="Yes",Q90="Yes",N90&lt;&gt;"Do Not Contact"),IF(INT(R90)=TODAY(),1,IF(INT(R90)=TODAY()+1,2,0)),0))</f>
        <v/>
      </c>
      <c r="Y90" s="0" t="str">
        <f aca="false">IF(OR(X90=1,X90=2),COUNTIF($X$2:X90,1)+COUNTIF($X$2:X90,2),"")</f>
        <v/>
      </c>
    </row>
    <row r="91" customFormat="false" ht="15" hidden="false" customHeight="false" outlineLevel="0" collapsed="false">
      <c r="A91" s="96"/>
      <c r="B91" s="97"/>
      <c r="C91" s="96"/>
      <c r="D91" s="96"/>
      <c r="E91" s="96"/>
      <c r="F91" s="96"/>
      <c r="G91" s="96"/>
      <c r="H91" s="96"/>
      <c r="I91" s="98"/>
      <c r="J91" s="96"/>
      <c r="K91" s="96"/>
      <c r="L91" s="96"/>
      <c r="M91" s="96"/>
      <c r="N91" s="96"/>
      <c r="O91" s="96"/>
      <c r="P91" s="96"/>
      <c r="Q91" s="96"/>
      <c r="R91" s="97"/>
      <c r="S91" s="97"/>
      <c r="T91" s="96"/>
      <c r="U91" s="0" t="str">
        <f aca="true">IF(A91="","",IF(AND(R91&lt;&gt;"",R91&lt;=TODAY()+30,P91="Yes",Q91="Yes",N91&lt;&gt;"Do Not Contact"),1,0))</f>
        <v/>
      </c>
      <c r="V91" s="0" t="str">
        <f aca="false">IF(U91=1,COUNTIF($U$2:U91,1),"")</f>
        <v/>
      </c>
      <c r="W91" s="0" t="str">
        <f aca="false">IF(A91="","",A91&amp;" | "&amp;C91)</f>
        <v/>
      </c>
      <c r="X91" s="0" t="str">
        <f aca="true">IF(A91="","",IF(AND(R91&lt;&gt;"",P91="Yes",Q91="Yes",N91&lt;&gt;"Do Not Contact"),IF(INT(R91)=TODAY(),1,IF(INT(R91)=TODAY()+1,2,0)),0))</f>
        <v/>
      </c>
      <c r="Y91" s="0" t="str">
        <f aca="false">IF(OR(X91=1,X91=2),COUNTIF($X$2:X91,1)+COUNTIF($X$2:X91,2),"")</f>
        <v/>
      </c>
    </row>
    <row r="92" customFormat="false" ht="15" hidden="false" customHeight="false" outlineLevel="0" collapsed="false">
      <c r="A92" s="96"/>
      <c r="B92" s="97"/>
      <c r="C92" s="96"/>
      <c r="D92" s="96"/>
      <c r="E92" s="96"/>
      <c r="F92" s="96"/>
      <c r="G92" s="96"/>
      <c r="H92" s="96"/>
      <c r="I92" s="98"/>
      <c r="J92" s="96"/>
      <c r="K92" s="96"/>
      <c r="L92" s="96"/>
      <c r="M92" s="96"/>
      <c r="N92" s="96"/>
      <c r="O92" s="96"/>
      <c r="P92" s="96"/>
      <c r="Q92" s="96"/>
      <c r="R92" s="97"/>
      <c r="S92" s="97"/>
      <c r="T92" s="96"/>
      <c r="U92" s="0" t="str">
        <f aca="true">IF(A92="","",IF(AND(R92&lt;&gt;"",R92&lt;=TODAY()+30,P92="Yes",Q92="Yes",N92&lt;&gt;"Do Not Contact"),1,0))</f>
        <v/>
      </c>
      <c r="V92" s="0" t="str">
        <f aca="false">IF(U92=1,COUNTIF($U$2:U92,1),"")</f>
        <v/>
      </c>
      <c r="W92" s="0" t="str">
        <f aca="false">IF(A92="","",A92&amp;" | "&amp;C92)</f>
        <v/>
      </c>
      <c r="X92" s="0" t="str">
        <f aca="true">IF(A92="","",IF(AND(R92&lt;&gt;"",P92="Yes",Q92="Yes",N92&lt;&gt;"Do Not Contact"),IF(INT(R92)=TODAY(),1,IF(INT(R92)=TODAY()+1,2,0)),0))</f>
        <v/>
      </c>
      <c r="Y92" s="0" t="str">
        <f aca="false">IF(OR(X92=1,X92=2),COUNTIF($X$2:X92,1)+COUNTIF($X$2:X92,2),"")</f>
        <v/>
      </c>
    </row>
    <row r="93" customFormat="false" ht="15" hidden="false" customHeight="false" outlineLevel="0" collapsed="false">
      <c r="A93" s="96"/>
      <c r="B93" s="97"/>
      <c r="C93" s="96"/>
      <c r="D93" s="96"/>
      <c r="E93" s="96"/>
      <c r="F93" s="96"/>
      <c r="G93" s="96"/>
      <c r="H93" s="96"/>
      <c r="I93" s="98"/>
      <c r="J93" s="96"/>
      <c r="K93" s="96"/>
      <c r="L93" s="96"/>
      <c r="M93" s="96"/>
      <c r="N93" s="96"/>
      <c r="O93" s="96"/>
      <c r="P93" s="96"/>
      <c r="Q93" s="96"/>
      <c r="R93" s="97"/>
      <c r="S93" s="97"/>
      <c r="T93" s="96"/>
      <c r="U93" s="0" t="str">
        <f aca="true">IF(A93="","",IF(AND(R93&lt;&gt;"",R93&lt;=TODAY()+30,P93="Yes",Q93="Yes",N93&lt;&gt;"Do Not Contact"),1,0))</f>
        <v/>
      </c>
      <c r="V93" s="0" t="str">
        <f aca="false">IF(U93=1,COUNTIF($U$2:U93,1),"")</f>
        <v/>
      </c>
      <c r="W93" s="0" t="str">
        <f aca="false">IF(A93="","",A93&amp;" | "&amp;C93)</f>
        <v/>
      </c>
      <c r="X93" s="0" t="str">
        <f aca="true">IF(A93="","",IF(AND(R93&lt;&gt;"",P93="Yes",Q93="Yes",N93&lt;&gt;"Do Not Contact"),IF(INT(R93)=TODAY(),1,IF(INT(R93)=TODAY()+1,2,0)),0))</f>
        <v/>
      </c>
      <c r="Y93" s="0" t="str">
        <f aca="false">IF(OR(X93=1,X93=2),COUNTIF($X$2:X93,1)+COUNTIF($X$2:X93,2),"")</f>
        <v/>
      </c>
    </row>
    <row r="94" customFormat="false" ht="15" hidden="false" customHeight="false" outlineLevel="0" collapsed="false">
      <c r="A94" s="96"/>
      <c r="B94" s="97"/>
      <c r="C94" s="96"/>
      <c r="D94" s="96"/>
      <c r="E94" s="96"/>
      <c r="F94" s="96"/>
      <c r="G94" s="96"/>
      <c r="H94" s="96"/>
      <c r="I94" s="98"/>
      <c r="J94" s="96"/>
      <c r="K94" s="96"/>
      <c r="L94" s="96"/>
      <c r="M94" s="96"/>
      <c r="N94" s="96"/>
      <c r="O94" s="96"/>
      <c r="P94" s="96"/>
      <c r="Q94" s="96"/>
      <c r="R94" s="97"/>
      <c r="S94" s="97"/>
      <c r="T94" s="96"/>
      <c r="U94" s="0" t="str">
        <f aca="true">IF(A94="","",IF(AND(R94&lt;&gt;"",R94&lt;=TODAY()+30,P94="Yes",Q94="Yes",N94&lt;&gt;"Do Not Contact"),1,0))</f>
        <v/>
      </c>
      <c r="V94" s="0" t="str">
        <f aca="false">IF(U94=1,COUNTIF($U$2:U94,1),"")</f>
        <v/>
      </c>
      <c r="W94" s="0" t="str">
        <f aca="false">IF(A94="","",A94&amp;" | "&amp;C94)</f>
        <v/>
      </c>
      <c r="X94" s="0" t="str">
        <f aca="true">IF(A94="","",IF(AND(R94&lt;&gt;"",P94="Yes",Q94="Yes",N94&lt;&gt;"Do Not Contact"),IF(INT(R94)=TODAY(),1,IF(INT(R94)=TODAY()+1,2,0)),0))</f>
        <v/>
      </c>
      <c r="Y94" s="0" t="str">
        <f aca="false">IF(OR(X94=1,X94=2),COUNTIF($X$2:X94,1)+COUNTIF($X$2:X94,2),"")</f>
        <v/>
      </c>
    </row>
    <row r="95" customFormat="false" ht="15" hidden="false" customHeight="false" outlineLevel="0" collapsed="false">
      <c r="A95" s="96"/>
      <c r="B95" s="97"/>
      <c r="C95" s="96"/>
      <c r="D95" s="96"/>
      <c r="E95" s="96"/>
      <c r="F95" s="96"/>
      <c r="G95" s="96"/>
      <c r="H95" s="96"/>
      <c r="I95" s="98"/>
      <c r="J95" s="96"/>
      <c r="K95" s="96"/>
      <c r="L95" s="96"/>
      <c r="M95" s="96"/>
      <c r="N95" s="96"/>
      <c r="O95" s="96"/>
      <c r="P95" s="96"/>
      <c r="Q95" s="96"/>
      <c r="R95" s="97"/>
      <c r="S95" s="97"/>
      <c r="T95" s="96"/>
      <c r="U95" s="0" t="str">
        <f aca="true">IF(A95="","",IF(AND(R95&lt;&gt;"",R95&lt;=TODAY()+30,P95="Yes",Q95="Yes",N95&lt;&gt;"Do Not Contact"),1,0))</f>
        <v/>
      </c>
      <c r="V95" s="0" t="str">
        <f aca="false">IF(U95=1,COUNTIF($U$2:U95,1),"")</f>
        <v/>
      </c>
      <c r="W95" s="0" t="str">
        <f aca="false">IF(A95="","",A95&amp;" | "&amp;C95)</f>
        <v/>
      </c>
      <c r="X95" s="0" t="str">
        <f aca="true">IF(A95="","",IF(AND(R95&lt;&gt;"",P95="Yes",Q95="Yes",N95&lt;&gt;"Do Not Contact"),IF(INT(R95)=TODAY(),1,IF(INT(R95)=TODAY()+1,2,0)),0))</f>
        <v/>
      </c>
      <c r="Y95" s="0" t="str">
        <f aca="false">IF(OR(X95=1,X95=2),COUNTIF($X$2:X95,1)+COUNTIF($X$2:X95,2),"")</f>
        <v/>
      </c>
    </row>
    <row r="96" customFormat="false" ht="15" hidden="false" customHeight="false" outlineLevel="0" collapsed="false">
      <c r="A96" s="96"/>
      <c r="B96" s="97"/>
      <c r="C96" s="96"/>
      <c r="D96" s="96"/>
      <c r="E96" s="96"/>
      <c r="F96" s="96"/>
      <c r="G96" s="96"/>
      <c r="H96" s="96"/>
      <c r="I96" s="98"/>
      <c r="J96" s="96"/>
      <c r="K96" s="96"/>
      <c r="L96" s="96"/>
      <c r="M96" s="96"/>
      <c r="N96" s="96"/>
      <c r="O96" s="96"/>
      <c r="P96" s="96"/>
      <c r="Q96" s="96"/>
      <c r="R96" s="97"/>
      <c r="S96" s="97"/>
      <c r="T96" s="96"/>
      <c r="U96" s="0" t="str">
        <f aca="true">IF(A96="","",IF(AND(R96&lt;&gt;"",R96&lt;=TODAY()+30,P96="Yes",Q96="Yes",N96&lt;&gt;"Do Not Contact"),1,0))</f>
        <v/>
      </c>
      <c r="V96" s="0" t="str">
        <f aca="false">IF(U96=1,COUNTIF($U$2:U96,1),"")</f>
        <v/>
      </c>
      <c r="W96" s="0" t="str">
        <f aca="false">IF(A96="","",A96&amp;" | "&amp;C96)</f>
        <v/>
      </c>
      <c r="X96" s="0" t="str">
        <f aca="true">IF(A96="","",IF(AND(R96&lt;&gt;"",P96="Yes",Q96="Yes",N96&lt;&gt;"Do Not Contact"),IF(INT(R96)=TODAY(),1,IF(INT(R96)=TODAY()+1,2,0)),0))</f>
        <v/>
      </c>
      <c r="Y96" s="0" t="str">
        <f aca="false">IF(OR(X96=1,X96=2),COUNTIF($X$2:X96,1)+COUNTIF($X$2:X96,2),"")</f>
        <v/>
      </c>
    </row>
    <row r="97" customFormat="false" ht="15" hidden="false" customHeight="false" outlineLevel="0" collapsed="false">
      <c r="A97" s="96"/>
      <c r="B97" s="97"/>
      <c r="C97" s="96"/>
      <c r="D97" s="96"/>
      <c r="E97" s="96"/>
      <c r="F97" s="96"/>
      <c r="G97" s="96"/>
      <c r="H97" s="96"/>
      <c r="I97" s="98"/>
      <c r="J97" s="96"/>
      <c r="K97" s="96"/>
      <c r="L97" s="96"/>
      <c r="M97" s="96"/>
      <c r="N97" s="96"/>
      <c r="O97" s="96"/>
      <c r="P97" s="96"/>
      <c r="Q97" s="96"/>
      <c r="R97" s="97"/>
      <c r="S97" s="97"/>
      <c r="T97" s="96"/>
      <c r="U97" s="0" t="str">
        <f aca="true">IF(A97="","",IF(AND(R97&lt;&gt;"",R97&lt;=TODAY()+30,P97="Yes",Q97="Yes",N97&lt;&gt;"Do Not Contact"),1,0))</f>
        <v/>
      </c>
      <c r="V97" s="0" t="str">
        <f aca="false">IF(U97=1,COUNTIF($U$2:U97,1),"")</f>
        <v/>
      </c>
      <c r="W97" s="0" t="str">
        <f aca="false">IF(A97="","",A97&amp;" | "&amp;C97)</f>
        <v/>
      </c>
      <c r="X97" s="0" t="str">
        <f aca="true">IF(A97="","",IF(AND(R97&lt;&gt;"",P97="Yes",Q97="Yes",N97&lt;&gt;"Do Not Contact"),IF(INT(R97)=TODAY(),1,IF(INT(R97)=TODAY()+1,2,0)),0))</f>
        <v/>
      </c>
      <c r="Y97" s="0" t="str">
        <f aca="false">IF(OR(X97=1,X97=2),COUNTIF($X$2:X97,1)+COUNTIF($X$2:X97,2),"")</f>
        <v/>
      </c>
    </row>
    <row r="98" customFormat="false" ht="15" hidden="false" customHeight="false" outlineLevel="0" collapsed="false">
      <c r="A98" s="96"/>
      <c r="B98" s="97"/>
      <c r="C98" s="96"/>
      <c r="D98" s="96"/>
      <c r="E98" s="96"/>
      <c r="F98" s="96"/>
      <c r="G98" s="96"/>
      <c r="H98" s="96"/>
      <c r="I98" s="98"/>
      <c r="J98" s="96"/>
      <c r="K98" s="96"/>
      <c r="L98" s="96"/>
      <c r="M98" s="96"/>
      <c r="N98" s="96"/>
      <c r="O98" s="96"/>
      <c r="P98" s="96"/>
      <c r="Q98" s="96"/>
      <c r="R98" s="97"/>
      <c r="S98" s="97"/>
      <c r="T98" s="96"/>
      <c r="U98" s="0" t="str">
        <f aca="true">IF(A98="","",IF(AND(R98&lt;&gt;"",R98&lt;=TODAY()+30,P98="Yes",Q98="Yes",N98&lt;&gt;"Do Not Contact"),1,0))</f>
        <v/>
      </c>
      <c r="V98" s="0" t="str">
        <f aca="false">IF(U98=1,COUNTIF($U$2:U98,1),"")</f>
        <v/>
      </c>
      <c r="W98" s="0" t="str">
        <f aca="false">IF(A98="","",A98&amp;" | "&amp;C98)</f>
        <v/>
      </c>
      <c r="X98" s="0" t="str">
        <f aca="true">IF(A98="","",IF(AND(R98&lt;&gt;"",P98="Yes",Q98="Yes",N98&lt;&gt;"Do Not Contact"),IF(INT(R98)=TODAY(),1,IF(INT(R98)=TODAY()+1,2,0)),0))</f>
        <v/>
      </c>
      <c r="Y98" s="0" t="str">
        <f aca="false">IF(OR(X98=1,X98=2),COUNTIF($X$2:X98,1)+COUNTIF($X$2:X98,2),"")</f>
        <v/>
      </c>
    </row>
    <row r="99" customFormat="false" ht="15" hidden="false" customHeight="false" outlineLevel="0" collapsed="false">
      <c r="A99" s="96"/>
      <c r="B99" s="97"/>
      <c r="C99" s="96"/>
      <c r="D99" s="96"/>
      <c r="E99" s="96"/>
      <c r="F99" s="96"/>
      <c r="G99" s="96"/>
      <c r="H99" s="96"/>
      <c r="I99" s="98"/>
      <c r="J99" s="96"/>
      <c r="K99" s="96"/>
      <c r="L99" s="96"/>
      <c r="M99" s="96"/>
      <c r="N99" s="96"/>
      <c r="O99" s="96"/>
      <c r="P99" s="96"/>
      <c r="Q99" s="96"/>
      <c r="R99" s="97"/>
      <c r="S99" s="97"/>
      <c r="T99" s="96"/>
      <c r="U99" s="0" t="str">
        <f aca="true">IF(A99="","",IF(AND(R99&lt;&gt;"",R99&lt;=TODAY()+30,P99="Yes",Q99="Yes",N99&lt;&gt;"Do Not Contact"),1,0))</f>
        <v/>
      </c>
      <c r="V99" s="0" t="str">
        <f aca="false">IF(U99=1,COUNTIF($U$2:U99,1),"")</f>
        <v/>
      </c>
      <c r="W99" s="0" t="str">
        <f aca="false">IF(A99="","",A99&amp;" | "&amp;C99)</f>
        <v/>
      </c>
      <c r="X99" s="0" t="str">
        <f aca="true">IF(A99="","",IF(AND(R99&lt;&gt;"",P99="Yes",Q99="Yes",N99&lt;&gt;"Do Not Contact"),IF(INT(R99)=TODAY(),1,IF(INT(R99)=TODAY()+1,2,0)),0))</f>
        <v/>
      </c>
      <c r="Y99" s="0" t="str">
        <f aca="false">IF(OR(X99=1,X99=2),COUNTIF($X$2:X99,1)+COUNTIF($X$2:X99,2),"")</f>
        <v/>
      </c>
    </row>
    <row r="100" customFormat="false" ht="15" hidden="false" customHeight="false" outlineLevel="0" collapsed="false">
      <c r="A100" s="96"/>
      <c r="B100" s="97"/>
      <c r="C100" s="96"/>
      <c r="D100" s="96"/>
      <c r="E100" s="96"/>
      <c r="F100" s="96"/>
      <c r="G100" s="96"/>
      <c r="H100" s="96"/>
      <c r="I100" s="98"/>
      <c r="J100" s="96"/>
      <c r="K100" s="96"/>
      <c r="L100" s="96"/>
      <c r="M100" s="96"/>
      <c r="N100" s="96"/>
      <c r="O100" s="96"/>
      <c r="P100" s="96"/>
      <c r="Q100" s="96"/>
      <c r="R100" s="97"/>
      <c r="S100" s="97"/>
      <c r="T100" s="96"/>
      <c r="U100" s="0" t="str">
        <f aca="true">IF(A100="","",IF(AND(R100&lt;&gt;"",R100&lt;=TODAY()+30,P100="Yes",Q100="Yes",N100&lt;&gt;"Do Not Contact"),1,0))</f>
        <v/>
      </c>
      <c r="V100" s="0" t="str">
        <f aca="false">IF(U100=1,COUNTIF($U$2:U100,1),"")</f>
        <v/>
      </c>
      <c r="W100" s="0" t="str">
        <f aca="false">IF(A100="","",A100&amp;" | "&amp;C100)</f>
        <v/>
      </c>
      <c r="X100" s="0" t="str">
        <f aca="true">IF(A100="","",IF(AND(R100&lt;&gt;"",P100="Yes",Q100="Yes",N100&lt;&gt;"Do Not Contact"),IF(INT(R100)=TODAY(),1,IF(INT(R100)=TODAY()+1,2,0)),0))</f>
        <v/>
      </c>
      <c r="Y100" s="0" t="str">
        <f aca="false">IF(OR(X100=1,X100=2),COUNTIF($X$2:X100,1)+COUNTIF($X$2:X100,2),"")</f>
        <v/>
      </c>
    </row>
    <row r="101" customFormat="false" ht="15" hidden="false" customHeight="false" outlineLevel="0" collapsed="false">
      <c r="A101" s="96"/>
      <c r="B101" s="97"/>
      <c r="C101" s="96"/>
      <c r="D101" s="96"/>
      <c r="E101" s="96"/>
      <c r="F101" s="96"/>
      <c r="G101" s="96"/>
      <c r="H101" s="96"/>
      <c r="I101" s="98"/>
      <c r="J101" s="96"/>
      <c r="K101" s="96"/>
      <c r="L101" s="96"/>
      <c r="M101" s="96"/>
      <c r="N101" s="96"/>
      <c r="O101" s="96"/>
      <c r="P101" s="96"/>
      <c r="Q101" s="96"/>
      <c r="R101" s="97"/>
      <c r="S101" s="97"/>
      <c r="T101" s="96"/>
      <c r="U101" s="0" t="str">
        <f aca="true">IF(A101="","",IF(AND(R101&lt;&gt;"",R101&lt;=TODAY()+30,P101="Yes",Q101="Yes",N101&lt;&gt;"Do Not Contact"),1,0))</f>
        <v/>
      </c>
      <c r="V101" s="0" t="str">
        <f aca="false">IF(U101=1,COUNTIF($U$2:U101,1),"")</f>
        <v/>
      </c>
      <c r="W101" s="0" t="str">
        <f aca="false">IF(A101="","",A101&amp;" | "&amp;C101)</f>
        <v/>
      </c>
      <c r="X101" s="0" t="str">
        <f aca="true">IF(A101="","",IF(AND(R101&lt;&gt;"",P101="Yes",Q101="Yes",N101&lt;&gt;"Do Not Contact"),IF(INT(R101)=TODAY(),1,IF(INT(R101)=TODAY()+1,2,0)),0))</f>
        <v/>
      </c>
      <c r="Y101" s="0" t="str">
        <f aca="false">IF(OR(X101=1,X101=2),COUNTIF($X$2:X101,1)+COUNTIF($X$2:X101,2),"")</f>
        <v/>
      </c>
    </row>
    <row r="102" customFormat="false" ht="15" hidden="false" customHeight="false" outlineLevel="0" collapsed="false">
      <c r="A102" s="96"/>
      <c r="B102" s="97"/>
      <c r="C102" s="96"/>
      <c r="D102" s="96"/>
      <c r="E102" s="96"/>
      <c r="F102" s="96"/>
      <c r="G102" s="96"/>
      <c r="H102" s="96"/>
      <c r="I102" s="98"/>
      <c r="J102" s="96"/>
      <c r="K102" s="96"/>
      <c r="L102" s="96"/>
      <c r="M102" s="96"/>
      <c r="N102" s="96"/>
      <c r="O102" s="96"/>
      <c r="P102" s="96"/>
      <c r="Q102" s="96"/>
      <c r="R102" s="97"/>
      <c r="S102" s="97"/>
      <c r="T102" s="96"/>
      <c r="U102" s="0" t="str">
        <f aca="true">IF(A102="","",IF(AND(R102&lt;&gt;"",R102&lt;=TODAY()+30,P102="Yes",Q102="Yes",N102&lt;&gt;"Do Not Contact"),1,0))</f>
        <v/>
      </c>
      <c r="V102" s="0" t="str">
        <f aca="false">IF(U102=1,COUNTIF($U$2:U102,1),"")</f>
        <v/>
      </c>
      <c r="W102" s="0" t="str">
        <f aca="false">IF(A102="","",A102&amp;" | "&amp;C102)</f>
        <v/>
      </c>
      <c r="X102" s="0" t="str">
        <f aca="true">IF(A102="","",IF(AND(R102&lt;&gt;"",P102="Yes",Q102="Yes",N102&lt;&gt;"Do Not Contact"),IF(INT(R102)=TODAY(),1,IF(INT(R102)=TODAY()+1,2,0)),0))</f>
        <v/>
      </c>
      <c r="Y102" s="0" t="str">
        <f aca="false">IF(OR(X102=1,X102=2),COUNTIF($X$2:X102,1)+COUNTIF($X$2:X102,2),"")</f>
        <v/>
      </c>
    </row>
    <row r="103" customFormat="false" ht="15" hidden="false" customHeight="false" outlineLevel="0" collapsed="false">
      <c r="A103" s="96"/>
      <c r="B103" s="97"/>
      <c r="C103" s="96"/>
      <c r="D103" s="96"/>
      <c r="E103" s="96"/>
      <c r="F103" s="96"/>
      <c r="G103" s="96"/>
      <c r="H103" s="96"/>
      <c r="I103" s="98"/>
      <c r="J103" s="96"/>
      <c r="K103" s="96"/>
      <c r="L103" s="96"/>
      <c r="M103" s="96"/>
      <c r="N103" s="96"/>
      <c r="O103" s="96"/>
      <c r="P103" s="96"/>
      <c r="Q103" s="96"/>
      <c r="R103" s="97"/>
      <c r="S103" s="97"/>
      <c r="T103" s="96"/>
      <c r="U103" s="0" t="str">
        <f aca="true">IF(A103="","",IF(AND(R103&lt;&gt;"",R103&lt;=TODAY()+30,P103="Yes",Q103="Yes",N103&lt;&gt;"Do Not Contact"),1,0))</f>
        <v/>
      </c>
      <c r="V103" s="0" t="str">
        <f aca="false">IF(U103=1,COUNTIF($U$2:U103,1),"")</f>
        <v/>
      </c>
      <c r="W103" s="0" t="str">
        <f aca="false">IF(A103="","",A103&amp;" | "&amp;C103)</f>
        <v/>
      </c>
      <c r="X103" s="0" t="str">
        <f aca="true">IF(A103="","",IF(AND(R103&lt;&gt;"",P103="Yes",Q103="Yes",N103&lt;&gt;"Do Not Contact"),IF(INT(R103)=TODAY(),1,IF(INT(R103)=TODAY()+1,2,0)),0))</f>
        <v/>
      </c>
      <c r="Y103" s="0" t="str">
        <f aca="false">IF(OR(X103=1,X103=2),COUNTIF($X$2:X103,1)+COUNTIF($X$2:X103,2),"")</f>
        <v/>
      </c>
    </row>
    <row r="104" customFormat="false" ht="15" hidden="false" customHeight="false" outlineLevel="0" collapsed="false">
      <c r="A104" s="96"/>
      <c r="B104" s="97"/>
      <c r="C104" s="96"/>
      <c r="D104" s="96"/>
      <c r="E104" s="96"/>
      <c r="F104" s="96"/>
      <c r="G104" s="96"/>
      <c r="H104" s="96"/>
      <c r="I104" s="98"/>
      <c r="J104" s="96"/>
      <c r="K104" s="96"/>
      <c r="L104" s="96"/>
      <c r="M104" s="96"/>
      <c r="N104" s="96"/>
      <c r="O104" s="96"/>
      <c r="P104" s="96"/>
      <c r="Q104" s="96"/>
      <c r="R104" s="97"/>
      <c r="S104" s="97"/>
      <c r="T104" s="96"/>
      <c r="U104" s="0" t="str">
        <f aca="true">IF(A104="","",IF(AND(R104&lt;&gt;"",R104&lt;=TODAY()+30,P104="Yes",Q104="Yes",N104&lt;&gt;"Do Not Contact"),1,0))</f>
        <v/>
      </c>
      <c r="V104" s="0" t="str">
        <f aca="false">IF(U104=1,COUNTIF($U$2:U104,1),"")</f>
        <v/>
      </c>
      <c r="W104" s="0" t="str">
        <f aca="false">IF(A104="","",A104&amp;" | "&amp;C104)</f>
        <v/>
      </c>
      <c r="X104" s="0" t="str">
        <f aca="true">IF(A104="","",IF(AND(R104&lt;&gt;"",P104="Yes",Q104="Yes",N104&lt;&gt;"Do Not Contact"),IF(INT(R104)=TODAY(),1,IF(INT(R104)=TODAY()+1,2,0)),0))</f>
        <v/>
      </c>
      <c r="Y104" s="0" t="str">
        <f aca="false">IF(OR(X104=1,X104=2),COUNTIF($X$2:X104,1)+COUNTIF($X$2:X104,2),"")</f>
        <v/>
      </c>
    </row>
    <row r="105" customFormat="false" ht="15" hidden="false" customHeight="false" outlineLevel="0" collapsed="false">
      <c r="A105" s="96"/>
      <c r="B105" s="97"/>
      <c r="C105" s="96"/>
      <c r="D105" s="96"/>
      <c r="E105" s="96"/>
      <c r="F105" s="96"/>
      <c r="G105" s="96"/>
      <c r="H105" s="96"/>
      <c r="I105" s="98"/>
      <c r="J105" s="96"/>
      <c r="K105" s="96"/>
      <c r="L105" s="96"/>
      <c r="M105" s="96"/>
      <c r="N105" s="96"/>
      <c r="O105" s="96"/>
      <c r="P105" s="96"/>
      <c r="Q105" s="96"/>
      <c r="R105" s="97"/>
      <c r="S105" s="97"/>
      <c r="T105" s="96"/>
      <c r="U105" s="0" t="str">
        <f aca="true">IF(A105="","",IF(AND(R105&lt;&gt;"",R105&lt;=TODAY()+30,P105="Yes",Q105="Yes",N105&lt;&gt;"Do Not Contact"),1,0))</f>
        <v/>
      </c>
      <c r="V105" s="0" t="str">
        <f aca="false">IF(U105=1,COUNTIF($U$2:U105,1),"")</f>
        <v/>
      </c>
      <c r="W105" s="0" t="str">
        <f aca="false">IF(A105="","",A105&amp;" | "&amp;C105)</f>
        <v/>
      </c>
      <c r="X105" s="0" t="str">
        <f aca="true">IF(A105="","",IF(AND(R105&lt;&gt;"",P105="Yes",Q105="Yes",N105&lt;&gt;"Do Not Contact"),IF(INT(R105)=TODAY(),1,IF(INT(R105)=TODAY()+1,2,0)),0))</f>
        <v/>
      </c>
      <c r="Y105" s="0" t="str">
        <f aca="false">IF(OR(X105=1,X105=2),COUNTIF($X$2:X105,1)+COUNTIF($X$2:X105,2),"")</f>
        <v/>
      </c>
    </row>
    <row r="106" customFormat="false" ht="15" hidden="false" customHeight="false" outlineLevel="0" collapsed="false">
      <c r="A106" s="96"/>
      <c r="B106" s="97"/>
      <c r="C106" s="96"/>
      <c r="D106" s="96"/>
      <c r="E106" s="96"/>
      <c r="F106" s="96"/>
      <c r="G106" s="96"/>
      <c r="H106" s="96"/>
      <c r="I106" s="98"/>
      <c r="J106" s="96"/>
      <c r="K106" s="96"/>
      <c r="L106" s="96"/>
      <c r="M106" s="96"/>
      <c r="N106" s="96"/>
      <c r="O106" s="96"/>
      <c r="P106" s="96"/>
      <c r="Q106" s="96"/>
      <c r="R106" s="97"/>
      <c r="S106" s="97"/>
      <c r="T106" s="96"/>
      <c r="U106" s="0" t="str">
        <f aca="true">IF(A106="","",IF(AND(R106&lt;&gt;"",R106&lt;=TODAY()+30,P106="Yes",Q106="Yes",N106&lt;&gt;"Do Not Contact"),1,0))</f>
        <v/>
      </c>
      <c r="V106" s="0" t="str">
        <f aca="false">IF(U106=1,COUNTIF($U$2:U106,1),"")</f>
        <v/>
      </c>
      <c r="W106" s="0" t="str">
        <f aca="false">IF(A106="","",A106&amp;" | "&amp;C106)</f>
        <v/>
      </c>
      <c r="X106" s="0" t="str">
        <f aca="true">IF(A106="","",IF(AND(R106&lt;&gt;"",P106="Yes",Q106="Yes",N106&lt;&gt;"Do Not Contact"),IF(INT(R106)=TODAY(),1,IF(INT(R106)=TODAY()+1,2,0)),0))</f>
        <v/>
      </c>
      <c r="Y106" s="0" t="str">
        <f aca="false">IF(OR(X106=1,X106=2),COUNTIF($X$2:X106,1)+COUNTIF($X$2:X106,2),"")</f>
        <v/>
      </c>
    </row>
    <row r="107" customFormat="false" ht="15" hidden="false" customHeight="false" outlineLevel="0" collapsed="false">
      <c r="A107" s="96"/>
      <c r="B107" s="97"/>
      <c r="C107" s="96"/>
      <c r="D107" s="96"/>
      <c r="E107" s="96"/>
      <c r="F107" s="96"/>
      <c r="G107" s="96"/>
      <c r="H107" s="96"/>
      <c r="I107" s="98"/>
      <c r="J107" s="96"/>
      <c r="K107" s="96"/>
      <c r="L107" s="96"/>
      <c r="M107" s="96"/>
      <c r="N107" s="96"/>
      <c r="O107" s="96"/>
      <c r="P107" s="96"/>
      <c r="Q107" s="96"/>
      <c r="R107" s="97"/>
      <c r="S107" s="97"/>
      <c r="T107" s="96"/>
      <c r="U107" s="0" t="str">
        <f aca="true">IF(A107="","",IF(AND(R107&lt;&gt;"",R107&lt;=TODAY()+30,P107="Yes",Q107="Yes",N107&lt;&gt;"Do Not Contact"),1,0))</f>
        <v/>
      </c>
      <c r="V107" s="0" t="str">
        <f aca="false">IF(U107=1,COUNTIF($U$2:U107,1),"")</f>
        <v/>
      </c>
      <c r="W107" s="0" t="str">
        <f aca="false">IF(A107="","",A107&amp;" | "&amp;C107)</f>
        <v/>
      </c>
      <c r="X107" s="0" t="str">
        <f aca="true">IF(A107="","",IF(AND(R107&lt;&gt;"",P107="Yes",Q107="Yes",N107&lt;&gt;"Do Not Contact"),IF(INT(R107)=TODAY(),1,IF(INT(R107)=TODAY()+1,2,0)),0))</f>
        <v/>
      </c>
      <c r="Y107" s="0" t="str">
        <f aca="false">IF(OR(X107=1,X107=2),COUNTIF($X$2:X107,1)+COUNTIF($X$2:X107,2),"")</f>
        <v/>
      </c>
    </row>
    <row r="108" customFormat="false" ht="15" hidden="false" customHeight="false" outlineLevel="0" collapsed="false">
      <c r="A108" s="96"/>
      <c r="B108" s="97"/>
      <c r="C108" s="96"/>
      <c r="D108" s="96"/>
      <c r="E108" s="96"/>
      <c r="F108" s="96"/>
      <c r="G108" s="96"/>
      <c r="H108" s="96"/>
      <c r="I108" s="98"/>
      <c r="J108" s="96"/>
      <c r="K108" s="96"/>
      <c r="L108" s="96"/>
      <c r="M108" s="96"/>
      <c r="N108" s="96"/>
      <c r="O108" s="96"/>
      <c r="P108" s="96"/>
      <c r="Q108" s="96"/>
      <c r="R108" s="97"/>
      <c r="S108" s="97"/>
      <c r="T108" s="96"/>
      <c r="U108" s="0" t="str">
        <f aca="true">IF(A108="","",IF(AND(R108&lt;&gt;"",R108&lt;=TODAY()+30,P108="Yes",Q108="Yes",N108&lt;&gt;"Do Not Contact"),1,0))</f>
        <v/>
      </c>
      <c r="V108" s="0" t="str">
        <f aca="false">IF(U108=1,COUNTIF($U$2:U108,1),"")</f>
        <v/>
      </c>
      <c r="W108" s="0" t="str">
        <f aca="false">IF(A108="","",A108&amp;" | "&amp;C108)</f>
        <v/>
      </c>
      <c r="X108" s="0" t="str">
        <f aca="true">IF(A108="","",IF(AND(R108&lt;&gt;"",P108="Yes",Q108="Yes",N108&lt;&gt;"Do Not Contact"),IF(INT(R108)=TODAY(),1,IF(INT(R108)=TODAY()+1,2,0)),0))</f>
        <v/>
      </c>
      <c r="Y108" s="0" t="str">
        <f aca="false">IF(OR(X108=1,X108=2),COUNTIF($X$2:X108,1)+COUNTIF($X$2:X108,2),"")</f>
        <v/>
      </c>
    </row>
    <row r="109" customFormat="false" ht="15" hidden="false" customHeight="false" outlineLevel="0" collapsed="false">
      <c r="A109" s="96"/>
      <c r="B109" s="97"/>
      <c r="C109" s="96"/>
      <c r="D109" s="96"/>
      <c r="E109" s="96"/>
      <c r="F109" s="96"/>
      <c r="G109" s="96"/>
      <c r="H109" s="96"/>
      <c r="I109" s="98"/>
      <c r="J109" s="96"/>
      <c r="K109" s="96"/>
      <c r="L109" s="96"/>
      <c r="M109" s="96"/>
      <c r="N109" s="96"/>
      <c r="O109" s="96"/>
      <c r="P109" s="96"/>
      <c r="Q109" s="96"/>
      <c r="R109" s="97"/>
      <c r="S109" s="97"/>
      <c r="T109" s="96"/>
      <c r="U109" s="0" t="str">
        <f aca="true">IF(A109="","",IF(AND(R109&lt;&gt;"",R109&lt;=TODAY()+30,P109="Yes",Q109="Yes",N109&lt;&gt;"Do Not Contact"),1,0))</f>
        <v/>
      </c>
      <c r="V109" s="0" t="str">
        <f aca="false">IF(U109=1,COUNTIF($U$2:U109,1),"")</f>
        <v/>
      </c>
      <c r="W109" s="0" t="str">
        <f aca="false">IF(A109="","",A109&amp;" | "&amp;C109)</f>
        <v/>
      </c>
      <c r="X109" s="0" t="str">
        <f aca="true">IF(A109="","",IF(AND(R109&lt;&gt;"",P109="Yes",Q109="Yes",N109&lt;&gt;"Do Not Contact"),IF(INT(R109)=TODAY(),1,IF(INT(R109)=TODAY()+1,2,0)),0))</f>
        <v/>
      </c>
      <c r="Y109" s="0" t="str">
        <f aca="false">IF(OR(X109=1,X109=2),COUNTIF($X$2:X109,1)+COUNTIF($X$2:X109,2),"")</f>
        <v/>
      </c>
    </row>
    <row r="110" customFormat="false" ht="15" hidden="false" customHeight="false" outlineLevel="0" collapsed="false">
      <c r="A110" s="96"/>
      <c r="B110" s="97"/>
      <c r="C110" s="96"/>
      <c r="D110" s="96"/>
      <c r="E110" s="96"/>
      <c r="F110" s="96"/>
      <c r="G110" s="96"/>
      <c r="H110" s="96"/>
      <c r="I110" s="98"/>
      <c r="J110" s="96"/>
      <c r="K110" s="96"/>
      <c r="L110" s="96"/>
      <c r="M110" s="96"/>
      <c r="N110" s="96"/>
      <c r="O110" s="96"/>
      <c r="P110" s="96"/>
      <c r="Q110" s="96"/>
      <c r="R110" s="97"/>
      <c r="S110" s="97"/>
      <c r="T110" s="96"/>
      <c r="U110" s="0" t="str">
        <f aca="true">IF(A110="","",IF(AND(R110&lt;&gt;"",R110&lt;=TODAY()+30,P110="Yes",Q110="Yes",N110&lt;&gt;"Do Not Contact"),1,0))</f>
        <v/>
      </c>
      <c r="V110" s="0" t="str">
        <f aca="false">IF(U110=1,COUNTIF($U$2:U110,1),"")</f>
        <v/>
      </c>
      <c r="W110" s="0" t="str">
        <f aca="false">IF(A110="","",A110&amp;" | "&amp;C110)</f>
        <v/>
      </c>
      <c r="X110" s="0" t="str">
        <f aca="true">IF(A110="","",IF(AND(R110&lt;&gt;"",P110="Yes",Q110="Yes",N110&lt;&gt;"Do Not Contact"),IF(INT(R110)=TODAY(),1,IF(INT(R110)=TODAY()+1,2,0)),0))</f>
        <v/>
      </c>
      <c r="Y110" s="0" t="str">
        <f aca="false">IF(OR(X110=1,X110=2),COUNTIF($X$2:X110,1)+COUNTIF($X$2:X110,2),"")</f>
        <v/>
      </c>
    </row>
    <row r="111" customFormat="false" ht="15" hidden="false" customHeight="false" outlineLevel="0" collapsed="false">
      <c r="A111" s="96"/>
      <c r="B111" s="97"/>
      <c r="C111" s="96"/>
      <c r="D111" s="96"/>
      <c r="E111" s="96"/>
      <c r="F111" s="96"/>
      <c r="G111" s="96"/>
      <c r="H111" s="96"/>
      <c r="I111" s="98"/>
      <c r="J111" s="96"/>
      <c r="K111" s="96"/>
      <c r="L111" s="96"/>
      <c r="M111" s="96"/>
      <c r="N111" s="96"/>
      <c r="O111" s="96"/>
      <c r="P111" s="96"/>
      <c r="Q111" s="96"/>
      <c r="R111" s="97"/>
      <c r="S111" s="97"/>
      <c r="T111" s="96"/>
      <c r="U111" s="0" t="str">
        <f aca="true">IF(A111="","",IF(AND(R111&lt;&gt;"",R111&lt;=TODAY()+30,P111="Yes",Q111="Yes",N111&lt;&gt;"Do Not Contact"),1,0))</f>
        <v/>
      </c>
      <c r="V111" s="0" t="str">
        <f aca="false">IF(U111=1,COUNTIF($U$2:U111,1),"")</f>
        <v/>
      </c>
      <c r="W111" s="0" t="str">
        <f aca="false">IF(A111="","",A111&amp;" | "&amp;C111)</f>
        <v/>
      </c>
      <c r="X111" s="0" t="str">
        <f aca="true">IF(A111="","",IF(AND(R111&lt;&gt;"",P111="Yes",Q111="Yes",N111&lt;&gt;"Do Not Contact"),IF(INT(R111)=TODAY(),1,IF(INT(R111)=TODAY()+1,2,0)),0))</f>
        <v/>
      </c>
      <c r="Y111" s="0" t="str">
        <f aca="false">IF(OR(X111=1,X111=2),COUNTIF($X$2:X111,1)+COUNTIF($X$2:X111,2),"")</f>
        <v/>
      </c>
    </row>
    <row r="112" customFormat="false" ht="15" hidden="false" customHeight="false" outlineLevel="0" collapsed="false">
      <c r="A112" s="96"/>
      <c r="B112" s="97"/>
      <c r="C112" s="96"/>
      <c r="D112" s="96"/>
      <c r="E112" s="96"/>
      <c r="F112" s="96"/>
      <c r="G112" s="96"/>
      <c r="H112" s="96"/>
      <c r="I112" s="98"/>
      <c r="J112" s="96"/>
      <c r="K112" s="96"/>
      <c r="L112" s="96"/>
      <c r="M112" s="96"/>
      <c r="N112" s="96"/>
      <c r="O112" s="96"/>
      <c r="P112" s="96"/>
      <c r="Q112" s="96"/>
      <c r="R112" s="97"/>
      <c r="S112" s="97"/>
      <c r="T112" s="96"/>
      <c r="U112" s="0" t="str">
        <f aca="true">IF(A112="","",IF(AND(R112&lt;&gt;"",R112&lt;=TODAY()+30,P112="Yes",Q112="Yes",N112&lt;&gt;"Do Not Contact"),1,0))</f>
        <v/>
      </c>
      <c r="V112" s="0" t="str">
        <f aca="false">IF(U112=1,COUNTIF($U$2:U112,1),"")</f>
        <v/>
      </c>
      <c r="W112" s="0" t="str">
        <f aca="false">IF(A112="","",A112&amp;" | "&amp;C112)</f>
        <v/>
      </c>
      <c r="X112" s="0" t="str">
        <f aca="true">IF(A112="","",IF(AND(R112&lt;&gt;"",P112="Yes",Q112="Yes",N112&lt;&gt;"Do Not Contact"),IF(INT(R112)=TODAY(),1,IF(INT(R112)=TODAY()+1,2,0)),0))</f>
        <v/>
      </c>
      <c r="Y112" s="0" t="str">
        <f aca="false">IF(OR(X112=1,X112=2),COUNTIF($X$2:X112,1)+COUNTIF($X$2:X112,2),"")</f>
        <v/>
      </c>
    </row>
    <row r="113" customFormat="false" ht="15" hidden="false" customHeight="false" outlineLevel="0" collapsed="false">
      <c r="A113" s="96"/>
      <c r="B113" s="97"/>
      <c r="C113" s="96"/>
      <c r="D113" s="96"/>
      <c r="E113" s="96"/>
      <c r="F113" s="96"/>
      <c r="G113" s="96"/>
      <c r="H113" s="96"/>
      <c r="I113" s="98"/>
      <c r="J113" s="96"/>
      <c r="K113" s="96"/>
      <c r="L113" s="96"/>
      <c r="M113" s="96"/>
      <c r="N113" s="96"/>
      <c r="O113" s="96"/>
      <c r="P113" s="96"/>
      <c r="Q113" s="96"/>
      <c r="R113" s="97"/>
      <c r="S113" s="97"/>
      <c r="T113" s="96"/>
      <c r="U113" s="0" t="str">
        <f aca="true">IF(A113="","",IF(AND(R113&lt;&gt;"",R113&lt;=TODAY()+30,P113="Yes",Q113="Yes",N113&lt;&gt;"Do Not Contact"),1,0))</f>
        <v/>
      </c>
      <c r="V113" s="0" t="str">
        <f aca="false">IF(U113=1,COUNTIF($U$2:U113,1),"")</f>
        <v/>
      </c>
      <c r="W113" s="0" t="str">
        <f aca="false">IF(A113="","",A113&amp;" | "&amp;C113)</f>
        <v/>
      </c>
      <c r="X113" s="0" t="str">
        <f aca="true">IF(A113="","",IF(AND(R113&lt;&gt;"",P113="Yes",Q113="Yes",N113&lt;&gt;"Do Not Contact"),IF(INT(R113)=TODAY(),1,IF(INT(R113)=TODAY()+1,2,0)),0))</f>
        <v/>
      </c>
      <c r="Y113" s="0" t="str">
        <f aca="false">IF(OR(X113=1,X113=2),COUNTIF($X$2:X113,1)+COUNTIF($X$2:X113,2),"")</f>
        <v/>
      </c>
    </row>
    <row r="114" customFormat="false" ht="15" hidden="false" customHeight="false" outlineLevel="0" collapsed="false">
      <c r="A114" s="96"/>
      <c r="B114" s="97"/>
      <c r="C114" s="96"/>
      <c r="D114" s="96"/>
      <c r="E114" s="96"/>
      <c r="F114" s="96"/>
      <c r="G114" s="96"/>
      <c r="H114" s="96"/>
      <c r="I114" s="98"/>
      <c r="J114" s="96"/>
      <c r="K114" s="96"/>
      <c r="L114" s="96"/>
      <c r="M114" s="96"/>
      <c r="N114" s="96"/>
      <c r="O114" s="96"/>
      <c r="P114" s="96"/>
      <c r="Q114" s="96"/>
      <c r="R114" s="97"/>
      <c r="S114" s="97"/>
      <c r="T114" s="96"/>
      <c r="U114" s="0" t="str">
        <f aca="true">IF(A114="","",IF(AND(R114&lt;&gt;"",R114&lt;=TODAY()+30,P114="Yes",Q114="Yes",N114&lt;&gt;"Do Not Contact"),1,0))</f>
        <v/>
      </c>
      <c r="V114" s="0" t="str">
        <f aca="false">IF(U114=1,COUNTIF($U$2:U114,1),"")</f>
        <v/>
      </c>
      <c r="W114" s="0" t="str">
        <f aca="false">IF(A114="","",A114&amp;" | "&amp;C114)</f>
        <v/>
      </c>
      <c r="X114" s="0" t="str">
        <f aca="true">IF(A114="","",IF(AND(R114&lt;&gt;"",P114="Yes",Q114="Yes",N114&lt;&gt;"Do Not Contact"),IF(INT(R114)=TODAY(),1,IF(INT(R114)=TODAY()+1,2,0)),0))</f>
        <v/>
      </c>
      <c r="Y114" s="0" t="str">
        <f aca="false">IF(OR(X114=1,X114=2),COUNTIF($X$2:X114,1)+COUNTIF($X$2:X114,2),"")</f>
        <v/>
      </c>
    </row>
    <row r="115" customFormat="false" ht="15" hidden="false" customHeight="false" outlineLevel="0" collapsed="false">
      <c r="A115" s="96"/>
      <c r="B115" s="97"/>
      <c r="C115" s="96"/>
      <c r="D115" s="96"/>
      <c r="E115" s="96"/>
      <c r="F115" s="96"/>
      <c r="G115" s="96"/>
      <c r="H115" s="96"/>
      <c r="I115" s="98"/>
      <c r="J115" s="96"/>
      <c r="K115" s="96"/>
      <c r="L115" s="96"/>
      <c r="M115" s="96"/>
      <c r="N115" s="96"/>
      <c r="O115" s="96"/>
      <c r="P115" s="96"/>
      <c r="Q115" s="96"/>
      <c r="R115" s="97"/>
      <c r="S115" s="97"/>
      <c r="T115" s="96"/>
      <c r="U115" s="0" t="str">
        <f aca="true">IF(A115="","",IF(AND(R115&lt;&gt;"",R115&lt;=TODAY()+30,P115="Yes",Q115="Yes",N115&lt;&gt;"Do Not Contact"),1,0))</f>
        <v/>
      </c>
      <c r="V115" s="0" t="str">
        <f aca="false">IF(U115=1,COUNTIF($U$2:U115,1),"")</f>
        <v/>
      </c>
      <c r="W115" s="0" t="str">
        <f aca="false">IF(A115="","",A115&amp;" | "&amp;C115)</f>
        <v/>
      </c>
      <c r="X115" s="0" t="str">
        <f aca="true">IF(A115="","",IF(AND(R115&lt;&gt;"",P115="Yes",Q115="Yes",N115&lt;&gt;"Do Not Contact"),IF(INT(R115)=TODAY(),1,IF(INT(R115)=TODAY()+1,2,0)),0))</f>
        <v/>
      </c>
      <c r="Y115" s="0" t="str">
        <f aca="false">IF(OR(X115=1,X115=2),COUNTIF($X$2:X115,1)+COUNTIF($X$2:X115,2),"")</f>
        <v/>
      </c>
    </row>
    <row r="116" customFormat="false" ht="15" hidden="false" customHeight="false" outlineLevel="0" collapsed="false">
      <c r="A116" s="96"/>
      <c r="B116" s="97"/>
      <c r="C116" s="96"/>
      <c r="D116" s="96"/>
      <c r="E116" s="96"/>
      <c r="F116" s="96"/>
      <c r="G116" s="96"/>
      <c r="H116" s="96"/>
      <c r="I116" s="98"/>
      <c r="J116" s="96"/>
      <c r="K116" s="96"/>
      <c r="L116" s="96"/>
      <c r="M116" s="96"/>
      <c r="N116" s="96"/>
      <c r="O116" s="96"/>
      <c r="P116" s="96"/>
      <c r="Q116" s="96"/>
      <c r="R116" s="97"/>
      <c r="S116" s="97"/>
      <c r="T116" s="96"/>
      <c r="U116" s="0" t="str">
        <f aca="true">IF(A116="","",IF(AND(R116&lt;&gt;"",R116&lt;=TODAY()+30,P116="Yes",Q116="Yes",N116&lt;&gt;"Do Not Contact"),1,0))</f>
        <v/>
      </c>
      <c r="V116" s="0" t="str">
        <f aca="false">IF(U116=1,COUNTIF($U$2:U116,1),"")</f>
        <v/>
      </c>
      <c r="W116" s="0" t="str">
        <f aca="false">IF(A116="","",A116&amp;" | "&amp;C116)</f>
        <v/>
      </c>
      <c r="X116" s="0" t="str">
        <f aca="true">IF(A116="","",IF(AND(R116&lt;&gt;"",P116="Yes",Q116="Yes",N116&lt;&gt;"Do Not Contact"),IF(INT(R116)=TODAY(),1,IF(INT(R116)=TODAY()+1,2,0)),0))</f>
        <v/>
      </c>
      <c r="Y116" s="0" t="str">
        <f aca="false">IF(OR(X116=1,X116=2),COUNTIF($X$2:X116,1)+COUNTIF($X$2:X116,2),"")</f>
        <v/>
      </c>
    </row>
    <row r="117" customFormat="false" ht="15" hidden="false" customHeight="false" outlineLevel="0" collapsed="false">
      <c r="A117" s="96"/>
      <c r="B117" s="97"/>
      <c r="C117" s="96"/>
      <c r="D117" s="96"/>
      <c r="E117" s="96"/>
      <c r="F117" s="96"/>
      <c r="G117" s="96"/>
      <c r="H117" s="96"/>
      <c r="I117" s="98"/>
      <c r="J117" s="96"/>
      <c r="K117" s="96"/>
      <c r="L117" s="96"/>
      <c r="M117" s="96"/>
      <c r="N117" s="96"/>
      <c r="O117" s="96"/>
      <c r="P117" s="96"/>
      <c r="Q117" s="96"/>
      <c r="R117" s="97"/>
      <c r="S117" s="97"/>
      <c r="T117" s="96"/>
      <c r="U117" s="0" t="str">
        <f aca="true">IF(A117="","",IF(AND(R117&lt;&gt;"",R117&lt;=TODAY()+30,P117="Yes",Q117="Yes",N117&lt;&gt;"Do Not Contact"),1,0))</f>
        <v/>
      </c>
      <c r="V117" s="0" t="str">
        <f aca="false">IF(U117=1,COUNTIF($U$2:U117,1),"")</f>
        <v/>
      </c>
      <c r="W117" s="0" t="str">
        <f aca="false">IF(A117="","",A117&amp;" | "&amp;C117)</f>
        <v/>
      </c>
      <c r="X117" s="0" t="str">
        <f aca="true">IF(A117="","",IF(AND(R117&lt;&gt;"",P117="Yes",Q117="Yes",N117&lt;&gt;"Do Not Contact"),IF(INT(R117)=TODAY(),1,IF(INT(R117)=TODAY()+1,2,0)),0))</f>
        <v/>
      </c>
      <c r="Y117" s="0" t="str">
        <f aca="false">IF(OR(X117=1,X117=2),COUNTIF($X$2:X117,1)+COUNTIF($X$2:X117,2),"")</f>
        <v/>
      </c>
    </row>
    <row r="118" customFormat="false" ht="15" hidden="false" customHeight="false" outlineLevel="0" collapsed="false">
      <c r="A118" s="96"/>
      <c r="B118" s="97"/>
      <c r="C118" s="96"/>
      <c r="D118" s="96"/>
      <c r="E118" s="96"/>
      <c r="F118" s="96"/>
      <c r="G118" s="96"/>
      <c r="H118" s="96"/>
      <c r="I118" s="98"/>
      <c r="J118" s="96"/>
      <c r="K118" s="96"/>
      <c r="L118" s="96"/>
      <c r="M118" s="96"/>
      <c r="N118" s="96"/>
      <c r="O118" s="96"/>
      <c r="P118" s="96"/>
      <c r="Q118" s="96"/>
      <c r="R118" s="97"/>
      <c r="S118" s="97"/>
      <c r="T118" s="96"/>
      <c r="U118" s="0" t="str">
        <f aca="true">IF(A118="","",IF(AND(R118&lt;&gt;"",R118&lt;=TODAY()+30,P118="Yes",Q118="Yes",N118&lt;&gt;"Do Not Contact"),1,0))</f>
        <v/>
      </c>
      <c r="V118" s="0" t="str">
        <f aca="false">IF(U118=1,COUNTIF($U$2:U118,1),"")</f>
        <v/>
      </c>
      <c r="W118" s="0" t="str">
        <f aca="false">IF(A118="","",A118&amp;" | "&amp;C118)</f>
        <v/>
      </c>
      <c r="X118" s="0" t="str">
        <f aca="true">IF(A118="","",IF(AND(R118&lt;&gt;"",P118="Yes",Q118="Yes",N118&lt;&gt;"Do Not Contact"),IF(INT(R118)=TODAY(),1,IF(INT(R118)=TODAY()+1,2,0)),0))</f>
        <v/>
      </c>
      <c r="Y118" s="0" t="str">
        <f aca="false">IF(OR(X118=1,X118=2),COUNTIF($X$2:X118,1)+COUNTIF($X$2:X118,2),"")</f>
        <v/>
      </c>
    </row>
    <row r="119" customFormat="false" ht="15" hidden="false" customHeight="false" outlineLevel="0" collapsed="false">
      <c r="A119" s="96"/>
      <c r="B119" s="97"/>
      <c r="C119" s="96"/>
      <c r="D119" s="96"/>
      <c r="E119" s="96"/>
      <c r="F119" s="96"/>
      <c r="G119" s="96"/>
      <c r="H119" s="96"/>
      <c r="I119" s="98"/>
      <c r="J119" s="96"/>
      <c r="K119" s="96"/>
      <c r="L119" s="96"/>
      <c r="M119" s="96"/>
      <c r="N119" s="96"/>
      <c r="O119" s="96"/>
      <c r="P119" s="96"/>
      <c r="Q119" s="96"/>
      <c r="R119" s="97"/>
      <c r="S119" s="97"/>
      <c r="T119" s="96"/>
      <c r="U119" s="0" t="str">
        <f aca="true">IF(A119="","",IF(AND(R119&lt;&gt;"",R119&lt;=TODAY()+30,P119="Yes",Q119="Yes",N119&lt;&gt;"Do Not Contact"),1,0))</f>
        <v/>
      </c>
      <c r="V119" s="0" t="str">
        <f aca="false">IF(U119=1,COUNTIF($U$2:U119,1),"")</f>
        <v/>
      </c>
      <c r="W119" s="0" t="str">
        <f aca="false">IF(A119="","",A119&amp;" | "&amp;C119)</f>
        <v/>
      </c>
      <c r="X119" s="0" t="str">
        <f aca="true">IF(A119="","",IF(AND(R119&lt;&gt;"",P119="Yes",Q119="Yes",N119&lt;&gt;"Do Not Contact"),IF(INT(R119)=TODAY(),1,IF(INT(R119)=TODAY()+1,2,0)),0))</f>
        <v/>
      </c>
      <c r="Y119" s="0" t="str">
        <f aca="false">IF(OR(X119=1,X119=2),COUNTIF($X$2:X119,1)+COUNTIF($X$2:X119,2),"")</f>
        <v/>
      </c>
    </row>
    <row r="120" customFormat="false" ht="15" hidden="false" customHeight="false" outlineLevel="0" collapsed="false">
      <c r="A120" s="96"/>
      <c r="B120" s="97"/>
      <c r="C120" s="96"/>
      <c r="D120" s="96"/>
      <c r="E120" s="96"/>
      <c r="F120" s="96"/>
      <c r="G120" s="96"/>
      <c r="H120" s="96"/>
      <c r="I120" s="98"/>
      <c r="J120" s="96"/>
      <c r="K120" s="96"/>
      <c r="L120" s="96"/>
      <c r="M120" s="96"/>
      <c r="N120" s="96"/>
      <c r="O120" s="96"/>
      <c r="P120" s="96"/>
      <c r="Q120" s="96"/>
      <c r="R120" s="97"/>
      <c r="S120" s="97"/>
      <c r="T120" s="96"/>
      <c r="U120" s="0" t="str">
        <f aca="true">IF(A120="","",IF(AND(R120&lt;&gt;"",R120&lt;=TODAY()+30,P120="Yes",Q120="Yes",N120&lt;&gt;"Do Not Contact"),1,0))</f>
        <v/>
      </c>
      <c r="V120" s="0" t="str">
        <f aca="false">IF(U120=1,COUNTIF($U$2:U120,1),"")</f>
        <v/>
      </c>
      <c r="W120" s="0" t="str">
        <f aca="false">IF(A120="","",A120&amp;" | "&amp;C120)</f>
        <v/>
      </c>
      <c r="X120" s="0" t="str">
        <f aca="true">IF(A120="","",IF(AND(R120&lt;&gt;"",P120="Yes",Q120="Yes",N120&lt;&gt;"Do Not Contact"),IF(INT(R120)=TODAY(),1,IF(INT(R120)=TODAY()+1,2,0)),0))</f>
        <v/>
      </c>
      <c r="Y120" s="0" t="str">
        <f aca="false">IF(OR(X120=1,X120=2),COUNTIF($X$2:X120,1)+COUNTIF($X$2:X120,2),"")</f>
        <v/>
      </c>
    </row>
    <row r="121" customFormat="false" ht="15" hidden="false" customHeight="false" outlineLevel="0" collapsed="false">
      <c r="A121" s="96"/>
      <c r="B121" s="97"/>
      <c r="C121" s="96"/>
      <c r="D121" s="96"/>
      <c r="E121" s="96"/>
      <c r="F121" s="96"/>
      <c r="G121" s="96"/>
      <c r="H121" s="96"/>
      <c r="I121" s="98"/>
      <c r="J121" s="96"/>
      <c r="K121" s="96"/>
      <c r="L121" s="96"/>
      <c r="M121" s="96"/>
      <c r="N121" s="96"/>
      <c r="O121" s="96"/>
      <c r="P121" s="96"/>
      <c r="Q121" s="96"/>
      <c r="R121" s="97"/>
      <c r="S121" s="97"/>
      <c r="T121" s="96"/>
      <c r="U121" s="0" t="str">
        <f aca="true">IF(A121="","",IF(AND(R121&lt;&gt;"",R121&lt;=TODAY()+30,P121="Yes",Q121="Yes",N121&lt;&gt;"Do Not Contact"),1,0))</f>
        <v/>
      </c>
      <c r="V121" s="0" t="str">
        <f aca="false">IF(U121=1,COUNTIF($U$2:U121,1),"")</f>
        <v/>
      </c>
      <c r="W121" s="0" t="str">
        <f aca="false">IF(A121="","",A121&amp;" | "&amp;C121)</f>
        <v/>
      </c>
      <c r="X121" s="0" t="str">
        <f aca="true">IF(A121="","",IF(AND(R121&lt;&gt;"",P121="Yes",Q121="Yes",N121&lt;&gt;"Do Not Contact"),IF(INT(R121)=TODAY(),1,IF(INT(R121)=TODAY()+1,2,0)),0))</f>
        <v/>
      </c>
      <c r="Y121" s="0" t="str">
        <f aca="false">IF(OR(X121=1,X121=2),COUNTIF($X$2:X121,1)+COUNTIF($X$2:X121,2),"")</f>
        <v/>
      </c>
    </row>
    <row r="122" customFormat="false" ht="15" hidden="false" customHeight="false" outlineLevel="0" collapsed="false">
      <c r="A122" s="96"/>
      <c r="B122" s="97"/>
      <c r="C122" s="96"/>
      <c r="D122" s="96"/>
      <c r="E122" s="96"/>
      <c r="F122" s="96"/>
      <c r="G122" s="96"/>
      <c r="H122" s="96"/>
      <c r="I122" s="98"/>
      <c r="J122" s="96"/>
      <c r="K122" s="96"/>
      <c r="L122" s="96"/>
      <c r="M122" s="96"/>
      <c r="N122" s="96"/>
      <c r="O122" s="96"/>
      <c r="P122" s="96"/>
      <c r="Q122" s="96"/>
      <c r="R122" s="97"/>
      <c r="S122" s="97"/>
      <c r="T122" s="96"/>
      <c r="U122" s="0" t="str">
        <f aca="true">IF(A122="","",IF(AND(R122&lt;&gt;"",R122&lt;=TODAY()+30,P122="Yes",Q122="Yes",N122&lt;&gt;"Do Not Contact"),1,0))</f>
        <v/>
      </c>
      <c r="V122" s="0" t="str">
        <f aca="false">IF(U122=1,COUNTIF($U$2:U122,1),"")</f>
        <v/>
      </c>
      <c r="W122" s="0" t="str">
        <f aca="false">IF(A122="","",A122&amp;" | "&amp;C122)</f>
        <v/>
      </c>
      <c r="X122" s="0" t="str">
        <f aca="true">IF(A122="","",IF(AND(R122&lt;&gt;"",P122="Yes",Q122="Yes",N122&lt;&gt;"Do Not Contact"),IF(INT(R122)=TODAY(),1,IF(INT(R122)=TODAY()+1,2,0)),0))</f>
        <v/>
      </c>
      <c r="Y122" s="0" t="str">
        <f aca="false">IF(OR(X122=1,X122=2),COUNTIF($X$2:X122,1)+COUNTIF($X$2:X122,2),"")</f>
        <v/>
      </c>
    </row>
    <row r="123" customFormat="false" ht="15" hidden="false" customHeight="false" outlineLevel="0" collapsed="false">
      <c r="A123" s="96"/>
      <c r="B123" s="97"/>
      <c r="C123" s="96"/>
      <c r="D123" s="96"/>
      <c r="E123" s="96"/>
      <c r="F123" s="96"/>
      <c r="G123" s="96"/>
      <c r="H123" s="96"/>
      <c r="I123" s="98"/>
      <c r="J123" s="96"/>
      <c r="K123" s="96"/>
      <c r="L123" s="96"/>
      <c r="M123" s="96"/>
      <c r="N123" s="96"/>
      <c r="O123" s="96"/>
      <c r="P123" s="96"/>
      <c r="Q123" s="96"/>
      <c r="R123" s="97"/>
      <c r="S123" s="97"/>
      <c r="T123" s="96"/>
      <c r="U123" s="0" t="str">
        <f aca="true">IF(A123="","",IF(AND(R123&lt;&gt;"",R123&lt;=TODAY()+30,P123="Yes",Q123="Yes",N123&lt;&gt;"Do Not Contact"),1,0))</f>
        <v/>
      </c>
      <c r="V123" s="0" t="str">
        <f aca="false">IF(U123=1,COUNTIF($U$2:U123,1),"")</f>
        <v/>
      </c>
      <c r="W123" s="0" t="str">
        <f aca="false">IF(A123="","",A123&amp;" | "&amp;C123)</f>
        <v/>
      </c>
      <c r="X123" s="0" t="str">
        <f aca="true">IF(A123="","",IF(AND(R123&lt;&gt;"",P123="Yes",Q123="Yes",N123&lt;&gt;"Do Not Contact"),IF(INT(R123)=TODAY(),1,IF(INT(R123)=TODAY()+1,2,0)),0))</f>
        <v/>
      </c>
      <c r="Y123" s="0" t="str">
        <f aca="false">IF(OR(X123=1,X123=2),COUNTIF($X$2:X123,1)+COUNTIF($X$2:X123,2),"")</f>
        <v/>
      </c>
    </row>
    <row r="124" customFormat="false" ht="15" hidden="false" customHeight="false" outlineLevel="0" collapsed="false">
      <c r="A124" s="96"/>
      <c r="B124" s="97"/>
      <c r="C124" s="96"/>
      <c r="D124" s="96"/>
      <c r="E124" s="96"/>
      <c r="F124" s="96"/>
      <c r="G124" s="96"/>
      <c r="H124" s="96"/>
      <c r="I124" s="98"/>
      <c r="J124" s="96"/>
      <c r="K124" s="96"/>
      <c r="L124" s="96"/>
      <c r="M124" s="96"/>
      <c r="N124" s="96"/>
      <c r="O124" s="96"/>
      <c r="P124" s="96"/>
      <c r="Q124" s="96"/>
      <c r="R124" s="97"/>
      <c r="S124" s="97"/>
      <c r="T124" s="96"/>
      <c r="U124" s="0" t="str">
        <f aca="true">IF(A124="","",IF(AND(R124&lt;&gt;"",R124&lt;=TODAY()+30,P124="Yes",Q124="Yes",N124&lt;&gt;"Do Not Contact"),1,0))</f>
        <v/>
      </c>
      <c r="V124" s="0" t="str">
        <f aca="false">IF(U124=1,COUNTIF($U$2:U124,1),"")</f>
        <v/>
      </c>
      <c r="W124" s="0" t="str">
        <f aca="false">IF(A124="","",A124&amp;" | "&amp;C124)</f>
        <v/>
      </c>
      <c r="X124" s="0" t="str">
        <f aca="true">IF(A124="","",IF(AND(R124&lt;&gt;"",P124="Yes",Q124="Yes",N124&lt;&gt;"Do Not Contact"),IF(INT(R124)=TODAY(),1,IF(INT(R124)=TODAY()+1,2,0)),0))</f>
        <v/>
      </c>
      <c r="Y124" s="0" t="str">
        <f aca="false">IF(OR(X124=1,X124=2),COUNTIF($X$2:X124,1)+COUNTIF($X$2:X124,2),"")</f>
        <v/>
      </c>
    </row>
    <row r="125" customFormat="false" ht="15" hidden="false" customHeight="false" outlineLevel="0" collapsed="false">
      <c r="A125" s="96"/>
      <c r="B125" s="97"/>
      <c r="C125" s="96"/>
      <c r="D125" s="96"/>
      <c r="E125" s="96"/>
      <c r="F125" s="96"/>
      <c r="G125" s="96"/>
      <c r="H125" s="96"/>
      <c r="I125" s="98"/>
      <c r="J125" s="96"/>
      <c r="K125" s="96"/>
      <c r="L125" s="96"/>
      <c r="M125" s="96"/>
      <c r="N125" s="96"/>
      <c r="O125" s="96"/>
      <c r="P125" s="96"/>
      <c r="Q125" s="96"/>
      <c r="R125" s="97"/>
      <c r="S125" s="97"/>
      <c r="T125" s="96"/>
      <c r="U125" s="0" t="str">
        <f aca="true">IF(A125="","",IF(AND(R125&lt;&gt;"",R125&lt;=TODAY()+30,P125="Yes",Q125="Yes",N125&lt;&gt;"Do Not Contact"),1,0))</f>
        <v/>
      </c>
      <c r="V125" s="0" t="str">
        <f aca="false">IF(U125=1,COUNTIF($U$2:U125,1),"")</f>
        <v/>
      </c>
      <c r="W125" s="0" t="str">
        <f aca="false">IF(A125="","",A125&amp;" | "&amp;C125)</f>
        <v/>
      </c>
      <c r="X125" s="0" t="str">
        <f aca="true">IF(A125="","",IF(AND(R125&lt;&gt;"",P125="Yes",Q125="Yes",N125&lt;&gt;"Do Not Contact"),IF(INT(R125)=TODAY(),1,IF(INT(R125)=TODAY()+1,2,0)),0))</f>
        <v/>
      </c>
      <c r="Y125" s="0" t="str">
        <f aca="false">IF(OR(X125=1,X125=2),COUNTIF($X$2:X125,1)+COUNTIF($X$2:X125,2),"")</f>
        <v/>
      </c>
    </row>
    <row r="126" customFormat="false" ht="15" hidden="false" customHeight="false" outlineLevel="0" collapsed="false">
      <c r="A126" s="96"/>
      <c r="B126" s="97"/>
      <c r="C126" s="96"/>
      <c r="D126" s="96"/>
      <c r="E126" s="96"/>
      <c r="F126" s="96"/>
      <c r="G126" s="96"/>
      <c r="H126" s="96"/>
      <c r="I126" s="98"/>
      <c r="J126" s="96"/>
      <c r="K126" s="96"/>
      <c r="L126" s="96"/>
      <c r="M126" s="96"/>
      <c r="N126" s="96"/>
      <c r="O126" s="96"/>
      <c r="P126" s="96"/>
      <c r="Q126" s="96"/>
      <c r="R126" s="97"/>
      <c r="S126" s="97"/>
      <c r="T126" s="96"/>
      <c r="U126" s="0" t="str">
        <f aca="true">IF(A126="","",IF(AND(R126&lt;&gt;"",R126&lt;=TODAY()+30,P126="Yes",Q126="Yes",N126&lt;&gt;"Do Not Contact"),1,0))</f>
        <v/>
      </c>
      <c r="V126" s="0" t="str">
        <f aca="false">IF(U126=1,COUNTIF($U$2:U126,1),"")</f>
        <v/>
      </c>
      <c r="W126" s="0" t="str">
        <f aca="false">IF(A126="","",A126&amp;" | "&amp;C126)</f>
        <v/>
      </c>
      <c r="X126" s="0" t="str">
        <f aca="true">IF(A126="","",IF(AND(R126&lt;&gt;"",P126="Yes",Q126="Yes",N126&lt;&gt;"Do Not Contact"),IF(INT(R126)=TODAY(),1,IF(INT(R126)=TODAY()+1,2,0)),0))</f>
        <v/>
      </c>
      <c r="Y126" s="0" t="str">
        <f aca="false">IF(OR(X126=1,X126=2),COUNTIF($X$2:X126,1)+COUNTIF($X$2:X126,2),"")</f>
        <v/>
      </c>
    </row>
    <row r="127" customFormat="false" ht="15" hidden="false" customHeight="false" outlineLevel="0" collapsed="false">
      <c r="A127" s="96"/>
      <c r="B127" s="97"/>
      <c r="C127" s="96"/>
      <c r="D127" s="96"/>
      <c r="E127" s="96"/>
      <c r="F127" s="96"/>
      <c r="G127" s="96"/>
      <c r="H127" s="96"/>
      <c r="I127" s="98"/>
      <c r="J127" s="96"/>
      <c r="K127" s="96"/>
      <c r="L127" s="96"/>
      <c r="M127" s="96"/>
      <c r="N127" s="96"/>
      <c r="O127" s="96"/>
      <c r="P127" s="96"/>
      <c r="Q127" s="96"/>
      <c r="R127" s="97"/>
      <c r="S127" s="97"/>
      <c r="T127" s="96"/>
      <c r="U127" s="0" t="str">
        <f aca="true">IF(A127="","",IF(AND(R127&lt;&gt;"",R127&lt;=TODAY()+30,P127="Yes",Q127="Yes",N127&lt;&gt;"Do Not Contact"),1,0))</f>
        <v/>
      </c>
      <c r="V127" s="0" t="str">
        <f aca="false">IF(U127=1,COUNTIF($U$2:U127,1),"")</f>
        <v/>
      </c>
      <c r="W127" s="0" t="str">
        <f aca="false">IF(A127="","",A127&amp;" | "&amp;C127)</f>
        <v/>
      </c>
      <c r="X127" s="0" t="str">
        <f aca="true">IF(A127="","",IF(AND(R127&lt;&gt;"",P127="Yes",Q127="Yes",N127&lt;&gt;"Do Not Contact"),IF(INT(R127)=TODAY(),1,IF(INT(R127)=TODAY()+1,2,0)),0))</f>
        <v/>
      </c>
      <c r="Y127" s="0" t="str">
        <f aca="false">IF(OR(X127=1,X127=2),COUNTIF($X$2:X127,1)+COUNTIF($X$2:X127,2),"")</f>
        <v/>
      </c>
    </row>
    <row r="128" customFormat="false" ht="15" hidden="false" customHeight="false" outlineLevel="0" collapsed="false">
      <c r="A128" s="96"/>
      <c r="B128" s="97"/>
      <c r="C128" s="96"/>
      <c r="D128" s="96"/>
      <c r="E128" s="96"/>
      <c r="F128" s="96"/>
      <c r="G128" s="96"/>
      <c r="H128" s="96"/>
      <c r="I128" s="98"/>
      <c r="J128" s="96"/>
      <c r="K128" s="96"/>
      <c r="L128" s="96"/>
      <c r="M128" s="96"/>
      <c r="N128" s="96"/>
      <c r="O128" s="96"/>
      <c r="P128" s="96"/>
      <c r="Q128" s="96"/>
      <c r="R128" s="97"/>
      <c r="S128" s="97"/>
      <c r="T128" s="96"/>
      <c r="U128" s="0" t="str">
        <f aca="true">IF(A128="","",IF(AND(R128&lt;&gt;"",R128&lt;=TODAY()+30,P128="Yes",Q128="Yes",N128&lt;&gt;"Do Not Contact"),1,0))</f>
        <v/>
      </c>
      <c r="V128" s="0" t="str">
        <f aca="false">IF(U128=1,COUNTIF($U$2:U128,1),"")</f>
        <v/>
      </c>
      <c r="W128" s="0" t="str">
        <f aca="false">IF(A128="","",A128&amp;" | "&amp;C128)</f>
        <v/>
      </c>
      <c r="X128" s="0" t="str">
        <f aca="true">IF(A128="","",IF(AND(R128&lt;&gt;"",P128="Yes",Q128="Yes",N128&lt;&gt;"Do Not Contact"),IF(INT(R128)=TODAY(),1,IF(INT(R128)=TODAY()+1,2,0)),0))</f>
        <v/>
      </c>
      <c r="Y128" s="0" t="str">
        <f aca="false">IF(OR(X128=1,X128=2),COUNTIF($X$2:X128,1)+COUNTIF($X$2:X128,2),"")</f>
        <v/>
      </c>
    </row>
    <row r="129" customFormat="false" ht="15" hidden="false" customHeight="false" outlineLevel="0" collapsed="false">
      <c r="A129" s="96"/>
      <c r="B129" s="97"/>
      <c r="C129" s="96"/>
      <c r="D129" s="96"/>
      <c r="E129" s="96"/>
      <c r="F129" s="96"/>
      <c r="G129" s="96"/>
      <c r="H129" s="96"/>
      <c r="I129" s="98"/>
      <c r="J129" s="96"/>
      <c r="K129" s="96"/>
      <c r="L129" s="96"/>
      <c r="M129" s="96"/>
      <c r="N129" s="96"/>
      <c r="O129" s="96"/>
      <c r="P129" s="96"/>
      <c r="Q129" s="96"/>
      <c r="R129" s="97"/>
      <c r="S129" s="97"/>
      <c r="T129" s="96"/>
      <c r="U129" s="0" t="str">
        <f aca="true">IF(A129="","",IF(AND(R129&lt;&gt;"",R129&lt;=TODAY()+30,P129="Yes",Q129="Yes",N129&lt;&gt;"Do Not Contact"),1,0))</f>
        <v/>
      </c>
      <c r="V129" s="0" t="str">
        <f aca="false">IF(U129=1,COUNTIF($U$2:U129,1),"")</f>
        <v/>
      </c>
      <c r="W129" s="0" t="str">
        <f aca="false">IF(A129="","",A129&amp;" | "&amp;C129)</f>
        <v/>
      </c>
      <c r="X129" s="0" t="str">
        <f aca="true">IF(A129="","",IF(AND(R129&lt;&gt;"",P129="Yes",Q129="Yes",N129&lt;&gt;"Do Not Contact"),IF(INT(R129)=TODAY(),1,IF(INT(R129)=TODAY()+1,2,0)),0))</f>
        <v/>
      </c>
      <c r="Y129" s="0" t="str">
        <f aca="false">IF(OR(X129=1,X129=2),COUNTIF($X$2:X129,1)+COUNTIF($X$2:X129,2),"")</f>
        <v/>
      </c>
    </row>
    <row r="130" customFormat="false" ht="15" hidden="false" customHeight="false" outlineLevel="0" collapsed="false">
      <c r="A130" s="96"/>
      <c r="B130" s="97"/>
      <c r="C130" s="96"/>
      <c r="D130" s="96"/>
      <c r="E130" s="96"/>
      <c r="F130" s="96"/>
      <c r="G130" s="96"/>
      <c r="H130" s="96"/>
      <c r="I130" s="98"/>
      <c r="J130" s="96"/>
      <c r="K130" s="96"/>
      <c r="L130" s="96"/>
      <c r="M130" s="96"/>
      <c r="N130" s="96"/>
      <c r="O130" s="96"/>
      <c r="P130" s="96"/>
      <c r="Q130" s="96"/>
      <c r="R130" s="97"/>
      <c r="S130" s="97"/>
      <c r="T130" s="96"/>
      <c r="U130" s="0" t="str">
        <f aca="true">IF(A130="","",IF(AND(R130&lt;&gt;"",R130&lt;=TODAY()+30,P130="Yes",Q130="Yes",N130&lt;&gt;"Do Not Contact"),1,0))</f>
        <v/>
      </c>
      <c r="V130" s="0" t="str">
        <f aca="false">IF(U130=1,COUNTIF($U$2:U130,1),"")</f>
        <v/>
      </c>
      <c r="W130" s="0" t="str">
        <f aca="false">IF(A130="","",A130&amp;" | "&amp;C130)</f>
        <v/>
      </c>
      <c r="X130" s="0" t="str">
        <f aca="true">IF(A130="","",IF(AND(R130&lt;&gt;"",P130="Yes",Q130="Yes",N130&lt;&gt;"Do Not Contact"),IF(INT(R130)=TODAY(),1,IF(INT(R130)=TODAY()+1,2,0)),0))</f>
        <v/>
      </c>
      <c r="Y130" s="0" t="str">
        <f aca="false">IF(OR(X130=1,X130=2),COUNTIF($X$2:X130,1)+COUNTIF($X$2:X130,2),"")</f>
        <v/>
      </c>
    </row>
    <row r="131" customFormat="false" ht="15" hidden="false" customHeight="false" outlineLevel="0" collapsed="false">
      <c r="A131" s="96"/>
      <c r="B131" s="97"/>
      <c r="C131" s="96"/>
      <c r="D131" s="96"/>
      <c r="E131" s="96"/>
      <c r="F131" s="96"/>
      <c r="G131" s="96"/>
      <c r="H131" s="96"/>
      <c r="I131" s="98"/>
      <c r="J131" s="96"/>
      <c r="K131" s="96"/>
      <c r="L131" s="96"/>
      <c r="M131" s="96"/>
      <c r="N131" s="96"/>
      <c r="O131" s="96"/>
      <c r="P131" s="96"/>
      <c r="Q131" s="96"/>
      <c r="R131" s="97"/>
      <c r="S131" s="97"/>
      <c r="T131" s="96"/>
      <c r="U131" s="0" t="str">
        <f aca="true">IF(A131="","",IF(AND(R131&lt;&gt;"",R131&lt;=TODAY()+30,P131="Yes",Q131="Yes",N131&lt;&gt;"Do Not Contact"),1,0))</f>
        <v/>
      </c>
      <c r="V131" s="0" t="str">
        <f aca="false">IF(U131=1,COUNTIF($U$2:U131,1),"")</f>
        <v/>
      </c>
      <c r="W131" s="0" t="str">
        <f aca="false">IF(A131="","",A131&amp;" | "&amp;C131)</f>
        <v/>
      </c>
      <c r="X131" s="0" t="str">
        <f aca="true">IF(A131="","",IF(AND(R131&lt;&gt;"",P131="Yes",Q131="Yes",N131&lt;&gt;"Do Not Contact"),IF(INT(R131)=TODAY(),1,IF(INT(R131)=TODAY()+1,2,0)),0))</f>
        <v/>
      </c>
      <c r="Y131" s="0" t="str">
        <f aca="false">IF(OR(X131=1,X131=2),COUNTIF($X$2:X131,1)+COUNTIF($X$2:X131,2),"")</f>
        <v/>
      </c>
    </row>
    <row r="132" customFormat="false" ht="15" hidden="false" customHeight="false" outlineLevel="0" collapsed="false">
      <c r="A132" s="96"/>
      <c r="B132" s="97"/>
      <c r="C132" s="96"/>
      <c r="D132" s="96"/>
      <c r="E132" s="96"/>
      <c r="F132" s="96"/>
      <c r="G132" s="96"/>
      <c r="H132" s="96"/>
      <c r="I132" s="98"/>
      <c r="J132" s="96"/>
      <c r="K132" s="96"/>
      <c r="L132" s="96"/>
      <c r="M132" s="96"/>
      <c r="N132" s="96"/>
      <c r="O132" s="96"/>
      <c r="P132" s="96"/>
      <c r="Q132" s="96"/>
      <c r="R132" s="97"/>
      <c r="S132" s="97"/>
      <c r="T132" s="96"/>
      <c r="U132" s="0" t="str">
        <f aca="true">IF(A132="","",IF(AND(R132&lt;&gt;"",R132&lt;=TODAY()+30,P132="Yes",Q132="Yes",N132&lt;&gt;"Do Not Contact"),1,0))</f>
        <v/>
      </c>
      <c r="V132" s="0" t="str">
        <f aca="false">IF(U132=1,COUNTIF($U$2:U132,1),"")</f>
        <v/>
      </c>
      <c r="W132" s="0" t="str">
        <f aca="false">IF(A132="","",A132&amp;" | "&amp;C132)</f>
        <v/>
      </c>
      <c r="X132" s="0" t="str">
        <f aca="true">IF(A132="","",IF(AND(R132&lt;&gt;"",P132="Yes",Q132="Yes",N132&lt;&gt;"Do Not Contact"),IF(INT(R132)=TODAY(),1,IF(INT(R132)=TODAY()+1,2,0)),0))</f>
        <v/>
      </c>
      <c r="Y132" s="0" t="str">
        <f aca="false">IF(OR(X132=1,X132=2),COUNTIF($X$2:X132,1)+COUNTIF($X$2:X132,2),"")</f>
        <v/>
      </c>
    </row>
    <row r="133" customFormat="false" ht="15" hidden="false" customHeight="false" outlineLevel="0" collapsed="false">
      <c r="A133" s="96"/>
      <c r="B133" s="97"/>
      <c r="C133" s="96"/>
      <c r="D133" s="96"/>
      <c r="E133" s="96"/>
      <c r="F133" s="96"/>
      <c r="G133" s="96"/>
      <c r="H133" s="96"/>
      <c r="I133" s="98"/>
      <c r="J133" s="96"/>
      <c r="K133" s="96"/>
      <c r="L133" s="96"/>
      <c r="M133" s="96"/>
      <c r="N133" s="96"/>
      <c r="O133" s="96"/>
      <c r="P133" s="96"/>
      <c r="Q133" s="96"/>
      <c r="R133" s="97"/>
      <c r="S133" s="97"/>
      <c r="T133" s="96"/>
      <c r="U133" s="0" t="str">
        <f aca="true">IF(A133="","",IF(AND(R133&lt;&gt;"",R133&lt;=TODAY()+30,P133="Yes",Q133="Yes",N133&lt;&gt;"Do Not Contact"),1,0))</f>
        <v/>
      </c>
      <c r="V133" s="0" t="str">
        <f aca="false">IF(U133=1,COUNTIF($U$2:U133,1),"")</f>
        <v/>
      </c>
      <c r="W133" s="0" t="str">
        <f aca="false">IF(A133="","",A133&amp;" | "&amp;C133)</f>
        <v/>
      </c>
      <c r="X133" s="0" t="str">
        <f aca="true">IF(A133="","",IF(AND(R133&lt;&gt;"",P133="Yes",Q133="Yes",N133&lt;&gt;"Do Not Contact"),IF(INT(R133)=TODAY(),1,IF(INT(R133)=TODAY()+1,2,0)),0))</f>
        <v/>
      </c>
      <c r="Y133" s="0" t="str">
        <f aca="false">IF(OR(X133=1,X133=2),COUNTIF($X$2:X133,1)+COUNTIF($X$2:X133,2),"")</f>
        <v/>
      </c>
    </row>
    <row r="134" customFormat="false" ht="15" hidden="false" customHeight="false" outlineLevel="0" collapsed="false">
      <c r="A134" s="96"/>
      <c r="B134" s="97"/>
      <c r="C134" s="96"/>
      <c r="D134" s="96"/>
      <c r="E134" s="96"/>
      <c r="F134" s="96"/>
      <c r="G134" s="96"/>
      <c r="H134" s="96"/>
      <c r="I134" s="98"/>
      <c r="J134" s="96"/>
      <c r="K134" s="96"/>
      <c r="L134" s="96"/>
      <c r="M134" s="96"/>
      <c r="N134" s="96"/>
      <c r="O134" s="96"/>
      <c r="P134" s="96"/>
      <c r="Q134" s="96"/>
      <c r="R134" s="97"/>
      <c r="S134" s="97"/>
      <c r="T134" s="96"/>
      <c r="U134" s="0" t="str">
        <f aca="true">IF(A134="","",IF(AND(R134&lt;&gt;"",R134&lt;=TODAY()+30,P134="Yes",Q134="Yes",N134&lt;&gt;"Do Not Contact"),1,0))</f>
        <v/>
      </c>
      <c r="V134" s="0" t="str">
        <f aca="false">IF(U134=1,COUNTIF($U$2:U134,1),"")</f>
        <v/>
      </c>
      <c r="W134" s="0" t="str">
        <f aca="false">IF(A134="","",A134&amp;" | "&amp;C134)</f>
        <v/>
      </c>
      <c r="X134" s="0" t="str">
        <f aca="true">IF(A134="","",IF(AND(R134&lt;&gt;"",P134="Yes",Q134="Yes",N134&lt;&gt;"Do Not Contact"),IF(INT(R134)=TODAY(),1,IF(INT(R134)=TODAY()+1,2,0)),0))</f>
        <v/>
      </c>
      <c r="Y134" s="0" t="str">
        <f aca="false">IF(OR(X134=1,X134=2),COUNTIF($X$2:X134,1)+COUNTIF($X$2:X134,2),"")</f>
        <v/>
      </c>
    </row>
    <row r="135" customFormat="false" ht="15" hidden="false" customHeight="false" outlineLevel="0" collapsed="false">
      <c r="A135" s="96"/>
      <c r="B135" s="97"/>
      <c r="C135" s="96"/>
      <c r="D135" s="96"/>
      <c r="E135" s="96"/>
      <c r="F135" s="96"/>
      <c r="G135" s="96"/>
      <c r="H135" s="96"/>
      <c r="I135" s="98"/>
      <c r="J135" s="96"/>
      <c r="K135" s="96"/>
      <c r="L135" s="96"/>
      <c r="M135" s="96"/>
      <c r="N135" s="96"/>
      <c r="O135" s="96"/>
      <c r="P135" s="96"/>
      <c r="Q135" s="96"/>
      <c r="R135" s="97"/>
      <c r="S135" s="97"/>
      <c r="T135" s="96"/>
      <c r="U135" s="0" t="str">
        <f aca="true">IF(A135="","",IF(AND(R135&lt;&gt;"",R135&lt;=TODAY()+30,P135="Yes",Q135="Yes",N135&lt;&gt;"Do Not Contact"),1,0))</f>
        <v/>
      </c>
      <c r="V135" s="0" t="str">
        <f aca="false">IF(U135=1,COUNTIF($U$2:U135,1),"")</f>
        <v/>
      </c>
      <c r="W135" s="0" t="str">
        <f aca="false">IF(A135="","",A135&amp;" | "&amp;C135)</f>
        <v/>
      </c>
      <c r="X135" s="0" t="str">
        <f aca="true">IF(A135="","",IF(AND(R135&lt;&gt;"",P135="Yes",Q135="Yes",N135&lt;&gt;"Do Not Contact"),IF(INT(R135)=TODAY(),1,IF(INT(R135)=TODAY()+1,2,0)),0))</f>
        <v/>
      </c>
      <c r="Y135" s="0" t="str">
        <f aca="false">IF(OR(X135=1,X135=2),COUNTIF($X$2:X135,1)+COUNTIF($X$2:X135,2),"")</f>
        <v/>
      </c>
    </row>
    <row r="136" customFormat="false" ht="15" hidden="false" customHeight="false" outlineLevel="0" collapsed="false">
      <c r="A136" s="96"/>
      <c r="B136" s="97"/>
      <c r="C136" s="96"/>
      <c r="D136" s="96"/>
      <c r="E136" s="96"/>
      <c r="F136" s="96"/>
      <c r="G136" s="96"/>
      <c r="H136" s="96"/>
      <c r="I136" s="98"/>
      <c r="J136" s="96"/>
      <c r="K136" s="96"/>
      <c r="L136" s="96"/>
      <c r="M136" s="96"/>
      <c r="N136" s="96"/>
      <c r="O136" s="96"/>
      <c r="P136" s="96"/>
      <c r="Q136" s="96"/>
      <c r="R136" s="97"/>
      <c r="S136" s="97"/>
      <c r="T136" s="96"/>
      <c r="U136" s="0" t="str">
        <f aca="true">IF(A136="","",IF(AND(R136&lt;&gt;"",R136&lt;=TODAY()+30,P136="Yes",Q136="Yes",N136&lt;&gt;"Do Not Contact"),1,0))</f>
        <v/>
      </c>
      <c r="V136" s="0" t="str">
        <f aca="false">IF(U136=1,COUNTIF($U$2:U136,1),"")</f>
        <v/>
      </c>
      <c r="W136" s="0" t="str">
        <f aca="false">IF(A136="","",A136&amp;" | "&amp;C136)</f>
        <v/>
      </c>
      <c r="X136" s="0" t="str">
        <f aca="true">IF(A136="","",IF(AND(R136&lt;&gt;"",P136="Yes",Q136="Yes",N136&lt;&gt;"Do Not Contact"),IF(INT(R136)=TODAY(),1,IF(INT(R136)=TODAY()+1,2,0)),0))</f>
        <v/>
      </c>
      <c r="Y136" s="0" t="str">
        <f aca="false">IF(OR(X136=1,X136=2),COUNTIF($X$2:X136,1)+COUNTIF($X$2:X136,2),"")</f>
        <v/>
      </c>
    </row>
    <row r="137" customFormat="false" ht="15" hidden="false" customHeight="false" outlineLevel="0" collapsed="false">
      <c r="A137" s="96"/>
      <c r="B137" s="97"/>
      <c r="C137" s="96"/>
      <c r="D137" s="96"/>
      <c r="E137" s="96"/>
      <c r="F137" s="96"/>
      <c r="G137" s="96"/>
      <c r="H137" s="96"/>
      <c r="I137" s="98"/>
      <c r="J137" s="96"/>
      <c r="K137" s="96"/>
      <c r="L137" s="96"/>
      <c r="M137" s="96"/>
      <c r="N137" s="96"/>
      <c r="O137" s="96"/>
      <c r="P137" s="96"/>
      <c r="Q137" s="96"/>
      <c r="R137" s="97"/>
      <c r="S137" s="97"/>
      <c r="T137" s="96"/>
      <c r="U137" s="0" t="str">
        <f aca="true">IF(A137="","",IF(AND(R137&lt;&gt;"",R137&lt;=TODAY()+30,P137="Yes",Q137="Yes",N137&lt;&gt;"Do Not Contact"),1,0))</f>
        <v/>
      </c>
      <c r="V137" s="0" t="str">
        <f aca="false">IF(U137=1,COUNTIF($U$2:U137,1),"")</f>
        <v/>
      </c>
      <c r="W137" s="0" t="str">
        <f aca="false">IF(A137="","",A137&amp;" | "&amp;C137)</f>
        <v/>
      </c>
      <c r="X137" s="0" t="str">
        <f aca="true">IF(A137="","",IF(AND(R137&lt;&gt;"",P137="Yes",Q137="Yes",N137&lt;&gt;"Do Not Contact"),IF(INT(R137)=TODAY(),1,IF(INT(R137)=TODAY()+1,2,0)),0))</f>
        <v/>
      </c>
      <c r="Y137" s="0" t="str">
        <f aca="false">IF(OR(X137=1,X137=2),COUNTIF($X$2:X137,1)+COUNTIF($X$2:X137,2),"")</f>
        <v/>
      </c>
    </row>
    <row r="138" customFormat="false" ht="15" hidden="false" customHeight="false" outlineLevel="0" collapsed="false">
      <c r="A138" s="96"/>
      <c r="B138" s="97"/>
      <c r="C138" s="96"/>
      <c r="D138" s="96"/>
      <c r="E138" s="96"/>
      <c r="F138" s="96"/>
      <c r="G138" s="96"/>
      <c r="H138" s="96"/>
      <c r="I138" s="98"/>
      <c r="J138" s="96"/>
      <c r="K138" s="96"/>
      <c r="L138" s="96"/>
      <c r="M138" s="96"/>
      <c r="N138" s="96"/>
      <c r="O138" s="96"/>
      <c r="P138" s="96"/>
      <c r="Q138" s="96"/>
      <c r="R138" s="97"/>
      <c r="S138" s="97"/>
      <c r="T138" s="96"/>
      <c r="U138" s="0" t="str">
        <f aca="true">IF(A138="","",IF(AND(R138&lt;&gt;"",R138&lt;=TODAY()+30,P138="Yes",Q138="Yes",N138&lt;&gt;"Do Not Contact"),1,0))</f>
        <v/>
      </c>
      <c r="V138" s="0" t="str">
        <f aca="false">IF(U138=1,COUNTIF($U$2:U138,1),"")</f>
        <v/>
      </c>
      <c r="W138" s="0" t="str">
        <f aca="false">IF(A138="","",A138&amp;" | "&amp;C138)</f>
        <v/>
      </c>
      <c r="X138" s="0" t="str">
        <f aca="true">IF(A138="","",IF(AND(R138&lt;&gt;"",P138="Yes",Q138="Yes",N138&lt;&gt;"Do Not Contact"),IF(INT(R138)=TODAY(),1,IF(INT(R138)=TODAY()+1,2,0)),0))</f>
        <v/>
      </c>
      <c r="Y138" s="0" t="str">
        <f aca="false">IF(OR(X138=1,X138=2),COUNTIF($X$2:X138,1)+COUNTIF($X$2:X138,2),"")</f>
        <v/>
      </c>
    </row>
    <row r="139" customFormat="false" ht="15" hidden="false" customHeight="false" outlineLevel="0" collapsed="false">
      <c r="A139" s="96"/>
      <c r="B139" s="97"/>
      <c r="C139" s="96"/>
      <c r="D139" s="96"/>
      <c r="E139" s="96"/>
      <c r="F139" s="96"/>
      <c r="G139" s="96"/>
      <c r="H139" s="96"/>
      <c r="I139" s="98"/>
      <c r="J139" s="96"/>
      <c r="K139" s="96"/>
      <c r="L139" s="96"/>
      <c r="M139" s="96"/>
      <c r="N139" s="96"/>
      <c r="O139" s="96"/>
      <c r="P139" s="96"/>
      <c r="Q139" s="96"/>
      <c r="R139" s="97"/>
      <c r="S139" s="97"/>
      <c r="T139" s="96"/>
      <c r="U139" s="0" t="str">
        <f aca="true">IF(A139="","",IF(AND(R139&lt;&gt;"",R139&lt;=TODAY()+30,P139="Yes",Q139="Yes",N139&lt;&gt;"Do Not Contact"),1,0))</f>
        <v/>
      </c>
      <c r="V139" s="0" t="str">
        <f aca="false">IF(U139=1,COUNTIF($U$2:U139,1),"")</f>
        <v/>
      </c>
      <c r="W139" s="0" t="str">
        <f aca="false">IF(A139="","",A139&amp;" | "&amp;C139)</f>
        <v/>
      </c>
      <c r="X139" s="0" t="str">
        <f aca="true">IF(A139="","",IF(AND(R139&lt;&gt;"",P139="Yes",Q139="Yes",N139&lt;&gt;"Do Not Contact"),IF(INT(R139)=TODAY(),1,IF(INT(R139)=TODAY()+1,2,0)),0))</f>
        <v/>
      </c>
      <c r="Y139" s="0" t="str">
        <f aca="false">IF(OR(X139=1,X139=2),COUNTIF($X$2:X139,1)+COUNTIF($X$2:X139,2),"")</f>
        <v/>
      </c>
    </row>
    <row r="140" customFormat="false" ht="15" hidden="false" customHeight="false" outlineLevel="0" collapsed="false">
      <c r="A140" s="96"/>
      <c r="B140" s="97"/>
      <c r="C140" s="96"/>
      <c r="D140" s="96"/>
      <c r="E140" s="96"/>
      <c r="F140" s="96"/>
      <c r="G140" s="96"/>
      <c r="H140" s="96"/>
      <c r="I140" s="98"/>
      <c r="J140" s="96"/>
      <c r="K140" s="96"/>
      <c r="L140" s="96"/>
      <c r="M140" s="96"/>
      <c r="N140" s="96"/>
      <c r="O140" s="96"/>
      <c r="P140" s="96"/>
      <c r="Q140" s="96"/>
      <c r="R140" s="97"/>
      <c r="S140" s="97"/>
      <c r="T140" s="96"/>
      <c r="U140" s="0" t="str">
        <f aca="true">IF(A140="","",IF(AND(R140&lt;&gt;"",R140&lt;=TODAY()+30,P140="Yes",Q140="Yes",N140&lt;&gt;"Do Not Contact"),1,0))</f>
        <v/>
      </c>
      <c r="V140" s="0" t="str">
        <f aca="false">IF(U140=1,COUNTIF($U$2:U140,1),"")</f>
        <v/>
      </c>
      <c r="W140" s="0" t="str">
        <f aca="false">IF(A140="","",A140&amp;" | "&amp;C140)</f>
        <v/>
      </c>
      <c r="X140" s="0" t="str">
        <f aca="true">IF(A140="","",IF(AND(R140&lt;&gt;"",P140="Yes",Q140="Yes",N140&lt;&gt;"Do Not Contact"),IF(INT(R140)=TODAY(),1,IF(INT(R140)=TODAY()+1,2,0)),0))</f>
        <v/>
      </c>
      <c r="Y140" s="0" t="str">
        <f aca="false">IF(OR(X140=1,X140=2),COUNTIF($X$2:X140,1)+COUNTIF($X$2:X140,2),"")</f>
        <v/>
      </c>
    </row>
    <row r="141" customFormat="false" ht="15" hidden="false" customHeight="false" outlineLevel="0" collapsed="false">
      <c r="A141" s="96"/>
      <c r="B141" s="97"/>
      <c r="C141" s="96"/>
      <c r="D141" s="96"/>
      <c r="E141" s="96"/>
      <c r="F141" s="96"/>
      <c r="G141" s="96"/>
      <c r="H141" s="96"/>
      <c r="I141" s="98"/>
      <c r="J141" s="96"/>
      <c r="K141" s="96"/>
      <c r="L141" s="96"/>
      <c r="M141" s="96"/>
      <c r="N141" s="96"/>
      <c r="O141" s="96"/>
      <c r="P141" s="96"/>
      <c r="Q141" s="96"/>
      <c r="R141" s="97"/>
      <c r="S141" s="97"/>
      <c r="T141" s="96"/>
      <c r="U141" s="0" t="str">
        <f aca="true">IF(A141="","",IF(AND(R141&lt;&gt;"",R141&lt;=TODAY()+30,P141="Yes",Q141="Yes",N141&lt;&gt;"Do Not Contact"),1,0))</f>
        <v/>
      </c>
      <c r="V141" s="0" t="str">
        <f aca="false">IF(U141=1,COUNTIF($U$2:U141,1),"")</f>
        <v/>
      </c>
      <c r="W141" s="0" t="str">
        <f aca="false">IF(A141="","",A141&amp;" | "&amp;C141)</f>
        <v/>
      </c>
      <c r="X141" s="0" t="str">
        <f aca="true">IF(A141="","",IF(AND(R141&lt;&gt;"",P141="Yes",Q141="Yes",N141&lt;&gt;"Do Not Contact"),IF(INT(R141)=TODAY(),1,IF(INT(R141)=TODAY()+1,2,0)),0))</f>
        <v/>
      </c>
      <c r="Y141" s="0" t="str">
        <f aca="false">IF(OR(X141=1,X141=2),COUNTIF($X$2:X141,1)+COUNTIF($X$2:X141,2),"")</f>
        <v/>
      </c>
    </row>
    <row r="142" customFormat="false" ht="15" hidden="false" customHeight="false" outlineLevel="0" collapsed="false">
      <c r="A142" s="96"/>
      <c r="B142" s="97"/>
      <c r="C142" s="96"/>
      <c r="D142" s="96"/>
      <c r="E142" s="96"/>
      <c r="F142" s="96"/>
      <c r="G142" s="96"/>
      <c r="H142" s="96"/>
      <c r="I142" s="98"/>
      <c r="J142" s="96"/>
      <c r="K142" s="96"/>
      <c r="L142" s="96"/>
      <c r="M142" s="96"/>
      <c r="N142" s="96"/>
      <c r="O142" s="96"/>
      <c r="P142" s="96"/>
      <c r="Q142" s="96"/>
      <c r="R142" s="97"/>
      <c r="S142" s="97"/>
      <c r="T142" s="96"/>
      <c r="U142" s="0" t="str">
        <f aca="true">IF(A142="","",IF(AND(R142&lt;&gt;"",R142&lt;=TODAY()+30,P142="Yes",Q142="Yes",N142&lt;&gt;"Do Not Contact"),1,0))</f>
        <v/>
      </c>
      <c r="V142" s="0" t="str">
        <f aca="false">IF(U142=1,COUNTIF($U$2:U142,1),"")</f>
        <v/>
      </c>
      <c r="W142" s="0" t="str">
        <f aca="false">IF(A142="","",A142&amp;" | "&amp;C142)</f>
        <v/>
      </c>
      <c r="X142" s="0" t="str">
        <f aca="true">IF(A142="","",IF(AND(R142&lt;&gt;"",P142="Yes",Q142="Yes",N142&lt;&gt;"Do Not Contact"),IF(INT(R142)=TODAY(),1,IF(INT(R142)=TODAY()+1,2,0)),0))</f>
        <v/>
      </c>
      <c r="Y142" s="0" t="str">
        <f aca="false">IF(OR(X142=1,X142=2),COUNTIF($X$2:X142,1)+COUNTIF($X$2:X142,2),"")</f>
        <v/>
      </c>
    </row>
    <row r="143" customFormat="false" ht="15" hidden="false" customHeight="false" outlineLevel="0" collapsed="false">
      <c r="A143" s="96"/>
      <c r="B143" s="97"/>
      <c r="C143" s="96"/>
      <c r="D143" s="96"/>
      <c r="E143" s="96"/>
      <c r="F143" s="96"/>
      <c r="G143" s="96"/>
      <c r="H143" s="96"/>
      <c r="I143" s="98"/>
      <c r="J143" s="96"/>
      <c r="K143" s="96"/>
      <c r="L143" s="96"/>
      <c r="M143" s="96"/>
      <c r="N143" s="96"/>
      <c r="O143" s="96"/>
      <c r="P143" s="96"/>
      <c r="Q143" s="96"/>
      <c r="R143" s="97"/>
      <c r="S143" s="97"/>
      <c r="T143" s="96"/>
      <c r="U143" s="0" t="str">
        <f aca="true">IF(A143="","",IF(AND(R143&lt;&gt;"",R143&lt;=TODAY()+30,P143="Yes",Q143="Yes",N143&lt;&gt;"Do Not Contact"),1,0))</f>
        <v/>
      </c>
      <c r="V143" s="0" t="str">
        <f aca="false">IF(U143=1,COUNTIF($U$2:U143,1),"")</f>
        <v/>
      </c>
      <c r="W143" s="0" t="str">
        <f aca="false">IF(A143="","",A143&amp;" | "&amp;C143)</f>
        <v/>
      </c>
      <c r="X143" s="0" t="str">
        <f aca="true">IF(A143="","",IF(AND(R143&lt;&gt;"",P143="Yes",Q143="Yes",N143&lt;&gt;"Do Not Contact"),IF(INT(R143)=TODAY(),1,IF(INT(R143)=TODAY()+1,2,0)),0))</f>
        <v/>
      </c>
      <c r="Y143" s="0" t="str">
        <f aca="false">IF(OR(X143=1,X143=2),COUNTIF($X$2:X143,1)+COUNTIF($X$2:X143,2),"")</f>
        <v/>
      </c>
    </row>
    <row r="144" customFormat="false" ht="15" hidden="false" customHeight="false" outlineLevel="0" collapsed="false">
      <c r="A144" s="96"/>
      <c r="B144" s="97"/>
      <c r="C144" s="96"/>
      <c r="D144" s="96"/>
      <c r="E144" s="96"/>
      <c r="F144" s="96"/>
      <c r="G144" s="96"/>
      <c r="H144" s="96"/>
      <c r="I144" s="98"/>
      <c r="J144" s="96"/>
      <c r="K144" s="96"/>
      <c r="L144" s="96"/>
      <c r="M144" s="96"/>
      <c r="N144" s="96"/>
      <c r="O144" s="96"/>
      <c r="P144" s="96"/>
      <c r="Q144" s="96"/>
      <c r="R144" s="97"/>
      <c r="S144" s="97"/>
      <c r="T144" s="96"/>
      <c r="U144" s="0" t="str">
        <f aca="true">IF(A144="","",IF(AND(R144&lt;&gt;"",R144&lt;=TODAY()+30,P144="Yes",Q144="Yes",N144&lt;&gt;"Do Not Contact"),1,0))</f>
        <v/>
      </c>
      <c r="V144" s="0" t="str">
        <f aca="false">IF(U144=1,COUNTIF($U$2:U144,1),"")</f>
        <v/>
      </c>
      <c r="W144" s="0" t="str">
        <f aca="false">IF(A144="","",A144&amp;" | "&amp;C144)</f>
        <v/>
      </c>
      <c r="X144" s="0" t="str">
        <f aca="true">IF(A144="","",IF(AND(R144&lt;&gt;"",P144="Yes",Q144="Yes",N144&lt;&gt;"Do Not Contact"),IF(INT(R144)=TODAY(),1,IF(INT(R144)=TODAY()+1,2,0)),0))</f>
        <v/>
      </c>
      <c r="Y144" s="0" t="str">
        <f aca="false">IF(OR(X144=1,X144=2),COUNTIF($X$2:X144,1)+COUNTIF($X$2:X144,2),"")</f>
        <v/>
      </c>
    </row>
    <row r="145" customFormat="false" ht="15" hidden="false" customHeight="false" outlineLevel="0" collapsed="false">
      <c r="A145" s="96"/>
      <c r="B145" s="97"/>
      <c r="C145" s="96"/>
      <c r="D145" s="96"/>
      <c r="E145" s="96"/>
      <c r="F145" s="96"/>
      <c r="G145" s="96"/>
      <c r="H145" s="96"/>
      <c r="I145" s="98"/>
      <c r="J145" s="96"/>
      <c r="K145" s="96"/>
      <c r="L145" s="96"/>
      <c r="M145" s="96"/>
      <c r="N145" s="96"/>
      <c r="O145" s="96"/>
      <c r="P145" s="96"/>
      <c r="Q145" s="96"/>
      <c r="R145" s="97"/>
      <c r="S145" s="97"/>
      <c r="T145" s="96"/>
      <c r="U145" s="0" t="str">
        <f aca="true">IF(A145="","",IF(AND(R145&lt;&gt;"",R145&lt;=TODAY()+30,P145="Yes",Q145="Yes",N145&lt;&gt;"Do Not Contact"),1,0))</f>
        <v/>
      </c>
      <c r="V145" s="0" t="str">
        <f aca="false">IF(U145=1,COUNTIF($U$2:U145,1),"")</f>
        <v/>
      </c>
      <c r="W145" s="0" t="str">
        <f aca="false">IF(A145="","",A145&amp;" | "&amp;C145)</f>
        <v/>
      </c>
      <c r="X145" s="0" t="str">
        <f aca="true">IF(A145="","",IF(AND(R145&lt;&gt;"",P145="Yes",Q145="Yes",N145&lt;&gt;"Do Not Contact"),IF(INT(R145)=TODAY(),1,IF(INT(R145)=TODAY()+1,2,0)),0))</f>
        <v/>
      </c>
      <c r="Y145" s="0" t="str">
        <f aca="false">IF(OR(X145=1,X145=2),COUNTIF($X$2:X145,1)+COUNTIF($X$2:X145,2),"")</f>
        <v/>
      </c>
    </row>
    <row r="146" customFormat="false" ht="15" hidden="false" customHeight="false" outlineLevel="0" collapsed="false">
      <c r="A146" s="96"/>
      <c r="B146" s="97"/>
      <c r="C146" s="96"/>
      <c r="D146" s="96"/>
      <c r="E146" s="96"/>
      <c r="F146" s="96"/>
      <c r="G146" s="96"/>
      <c r="H146" s="96"/>
      <c r="I146" s="98"/>
      <c r="J146" s="96"/>
      <c r="K146" s="96"/>
      <c r="L146" s="96"/>
      <c r="M146" s="96"/>
      <c r="N146" s="96"/>
      <c r="O146" s="96"/>
      <c r="P146" s="96"/>
      <c r="Q146" s="96"/>
      <c r="R146" s="97"/>
      <c r="S146" s="97"/>
      <c r="T146" s="96"/>
      <c r="U146" s="0" t="str">
        <f aca="true">IF(A146="","",IF(AND(R146&lt;&gt;"",R146&lt;=TODAY()+30,P146="Yes",Q146="Yes",N146&lt;&gt;"Do Not Contact"),1,0))</f>
        <v/>
      </c>
      <c r="V146" s="0" t="str">
        <f aca="false">IF(U146=1,COUNTIF($U$2:U146,1),"")</f>
        <v/>
      </c>
      <c r="W146" s="0" t="str">
        <f aca="false">IF(A146="","",A146&amp;" | "&amp;C146)</f>
        <v/>
      </c>
      <c r="X146" s="0" t="str">
        <f aca="true">IF(A146="","",IF(AND(R146&lt;&gt;"",P146="Yes",Q146="Yes",N146&lt;&gt;"Do Not Contact"),IF(INT(R146)=TODAY(),1,IF(INT(R146)=TODAY()+1,2,0)),0))</f>
        <v/>
      </c>
      <c r="Y146" s="0" t="str">
        <f aca="false">IF(OR(X146=1,X146=2),COUNTIF($X$2:X146,1)+COUNTIF($X$2:X146,2),"")</f>
        <v/>
      </c>
    </row>
    <row r="147" customFormat="false" ht="15" hidden="false" customHeight="false" outlineLevel="0" collapsed="false">
      <c r="A147" s="96"/>
      <c r="B147" s="97"/>
      <c r="C147" s="96"/>
      <c r="D147" s="96"/>
      <c r="E147" s="96"/>
      <c r="F147" s="96"/>
      <c r="G147" s="96"/>
      <c r="H147" s="96"/>
      <c r="I147" s="98"/>
      <c r="J147" s="96"/>
      <c r="K147" s="96"/>
      <c r="L147" s="96"/>
      <c r="M147" s="96"/>
      <c r="N147" s="96"/>
      <c r="O147" s="96"/>
      <c r="P147" s="96"/>
      <c r="Q147" s="96"/>
      <c r="R147" s="97"/>
      <c r="S147" s="97"/>
      <c r="T147" s="96"/>
      <c r="U147" s="0" t="str">
        <f aca="true">IF(A147="","",IF(AND(R147&lt;&gt;"",R147&lt;=TODAY()+30,P147="Yes",Q147="Yes",N147&lt;&gt;"Do Not Contact"),1,0))</f>
        <v/>
      </c>
      <c r="V147" s="0" t="str">
        <f aca="false">IF(U147=1,COUNTIF($U$2:U147,1),"")</f>
        <v/>
      </c>
      <c r="W147" s="0" t="str">
        <f aca="false">IF(A147="","",A147&amp;" | "&amp;C147)</f>
        <v/>
      </c>
      <c r="X147" s="0" t="str">
        <f aca="true">IF(A147="","",IF(AND(R147&lt;&gt;"",P147="Yes",Q147="Yes",N147&lt;&gt;"Do Not Contact"),IF(INT(R147)=TODAY(),1,IF(INT(R147)=TODAY()+1,2,0)),0))</f>
        <v/>
      </c>
      <c r="Y147" s="0" t="str">
        <f aca="false">IF(OR(X147=1,X147=2),COUNTIF($X$2:X147,1)+COUNTIF($X$2:X147,2),"")</f>
        <v/>
      </c>
    </row>
    <row r="148" customFormat="false" ht="15" hidden="false" customHeight="false" outlineLevel="0" collapsed="false">
      <c r="A148" s="96"/>
      <c r="B148" s="97"/>
      <c r="C148" s="96"/>
      <c r="D148" s="96"/>
      <c r="E148" s="96"/>
      <c r="F148" s="96"/>
      <c r="G148" s="96"/>
      <c r="H148" s="96"/>
      <c r="I148" s="98"/>
      <c r="J148" s="96"/>
      <c r="K148" s="96"/>
      <c r="L148" s="96"/>
      <c r="M148" s="96"/>
      <c r="N148" s="96"/>
      <c r="O148" s="96"/>
      <c r="P148" s="96"/>
      <c r="Q148" s="96"/>
      <c r="R148" s="97"/>
      <c r="S148" s="97"/>
      <c r="T148" s="96"/>
      <c r="U148" s="0" t="str">
        <f aca="true">IF(A148="","",IF(AND(R148&lt;&gt;"",R148&lt;=TODAY()+30,P148="Yes",Q148="Yes",N148&lt;&gt;"Do Not Contact"),1,0))</f>
        <v/>
      </c>
      <c r="V148" s="0" t="str">
        <f aca="false">IF(U148=1,COUNTIF($U$2:U148,1),"")</f>
        <v/>
      </c>
      <c r="W148" s="0" t="str">
        <f aca="false">IF(A148="","",A148&amp;" | "&amp;C148)</f>
        <v/>
      </c>
      <c r="X148" s="0" t="str">
        <f aca="true">IF(A148="","",IF(AND(R148&lt;&gt;"",P148="Yes",Q148="Yes",N148&lt;&gt;"Do Not Contact"),IF(INT(R148)=TODAY(),1,IF(INT(R148)=TODAY()+1,2,0)),0))</f>
        <v/>
      </c>
      <c r="Y148" s="0" t="str">
        <f aca="false">IF(OR(X148=1,X148=2),COUNTIF($X$2:X148,1)+COUNTIF($X$2:X148,2),"")</f>
        <v/>
      </c>
    </row>
    <row r="149" customFormat="false" ht="15" hidden="false" customHeight="false" outlineLevel="0" collapsed="false">
      <c r="A149" s="96"/>
      <c r="B149" s="97"/>
      <c r="C149" s="96"/>
      <c r="D149" s="96"/>
      <c r="E149" s="96"/>
      <c r="F149" s="96"/>
      <c r="G149" s="96"/>
      <c r="H149" s="96"/>
      <c r="I149" s="98"/>
      <c r="J149" s="96"/>
      <c r="K149" s="96"/>
      <c r="L149" s="96"/>
      <c r="M149" s="96"/>
      <c r="N149" s="96"/>
      <c r="O149" s="96"/>
      <c r="P149" s="96"/>
      <c r="Q149" s="96"/>
      <c r="R149" s="97"/>
      <c r="S149" s="97"/>
      <c r="T149" s="96"/>
      <c r="U149" s="0" t="str">
        <f aca="true">IF(A149="","",IF(AND(R149&lt;&gt;"",R149&lt;=TODAY()+30,P149="Yes",Q149="Yes",N149&lt;&gt;"Do Not Contact"),1,0))</f>
        <v/>
      </c>
      <c r="V149" s="0" t="str">
        <f aca="false">IF(U149=1,COUNTIF($U$2:U149,1),"")</f>
        <v/>
      </c>
      <c r="W149" s="0" t="str">
        <f aca="false">IF(A149="","",A149&amp;" | "&amp;C149)</f>
        <v/>
      </c>
      <c r="X149" s="0" t="str">
        <f aca="true">IF(A149="","",IF(AND(R149&lt;&gt;"",P149="Yes",Q149="Yes",N149&lt;&gt;"Do Not Contact"),IF(INT(R149)=TODAY(),1,IF(INT(R149)=TODAY()+1,2,0)),0))</f>
        <v/>
      </c>
      <c r="Y149" s="0" t="str">
        <f aca="false">IF(OR(X149=1,X149=2),COUNTIF($X$2:X149,1)+COUNTIF($X$2:X149,2),"")</f>
        <v/>
      </c>
    </row>
    <row r="150" customFormat="false" ht="15" hidden="false" customHeight="false" outlineLevel="0" collapsed="false">
      <c r="A150" s="96"/>
      <c r="B150" s="97"/>
      <c r="C150" s="96"/>
      <c r="D150" s="96"/>
      <c r="E150" s="96"/>
      <c r="F150" s="96"/>
      <c r="G150" s="96"/>
      <c r="H150" s="96"/>
      <c r="I150" s="98"/>
      <c r="J150" s="96"/>
      <c r="K150" s="96"/>
      <c r="L150" s="96"/>
      <c r="M150" s="96"/>
      <c r="N150" s="96"/>
      <c r="O150" s="96"/>
      <c r="P150" s="96"/>
      <c r="Q150" s="96"/>
      <c r="R150" s="97"/>
      <c r="S150" s="97"/>
      <c r="T150" s="96"/>
      <c r="U150" s="0" t="str">
        <f aca="true">IF(A150="","",IF(AND(R150&lt;&gt;"",R150&lt;=TODAY()+30,P150="Yes",Q150="Yes",N150&lt;&gt;"Do Not Contact"),1,0))</f>
        <v/>
      </c>
      <c r="V150" s="0" t="str">
        <f aca="false">IF(U150=1,COUNTIF($U$2:U150,1),"")</f>
        <v/>
      </c>
      <c r="W150" s="0" t="str">
        <f aca="false">IF(A150="","",A150&amp;" | "&amp;C150)</f>
        <v/>
      </c>
      <c r="X150" s="0" t="str">
        <f aca="true">IF(A150="","",IF(AND(R150&lt;&gt;"",P150="Yes",Q150="Yes",N150&lt;&gt;"Do Not Contact"),IF(INT(R150)=TODAY(),1,IF(INT(R150)=TODAY()+1,2,0)),0))</f>
        <v/>
      </c>
      <c r="Y150" s="0" t="str">
        <f aca="false">IF(OR(X150=1,X150=2),COUNTIF($X$2:X150,1)+COUNTIF($X$2:X150,2),"")</f>
        <v/>
      </c>
    </row>
    <row r="151" customFormat="false" ht="15" hidden="false" customHeight="false" outlineLevel="0" collapsed="false">
      <c r="A151" s="96"/>
      <c r="B151" s="97"/>
      <c r="C151" s="96"/>
      <c r="D151" s="96"/>
      <c r="E151" s="96"/>
      <c r="F151" s="96"/>
      <c r="G151" s="96"/>
      <c r="H151" s="96"/>
      <c r="I151" s="98"/>
      <c r="J151" s="96"/>
      <c r="K151" s="96"/>
      <c r="L151" s="96"/>
      <c r="M151" s="96"/>
      <c r="N151" s="96"/>
      <c r="O151" s="96"/>
      <c r="P151" s="96"/>
      <c r="Q151" s="96"/>
      <c r="R151" s="97"/>
      <c r="S151" s="97"/>
      <c r="T151" s="96"/>
      <c r="U151" s="0" t="str">
        <f aca="true">IF(A151="","",IF(AND(R151&lt;&gt;"",R151&lt;=TODAY()+30,P151="Yes",Q151="Yes",N151&lt;&gt;"Do Not Contact"),1,0))</f>
        <v/>
      </c>
      <c r="V151" s="0" t="str">
        <f aca="false">IF(U151=1,COUNTIF($U$2:U151,1),"")</f>
        <v/>
      </c>
      <c r="W151" s="0" t="str">
        <f aca="false">IF(A151="","",A151&amp;" | "&amp;C151)</f>
        <v/>
      </c>
      <c r="X151" s="0" t="str">
        <f aca="true">IF(A151="","",IF(AND(R151&lt;&gt;"",P151="Yes",Q151="Yes",N151&lt;&gt;"Do Not Contact"),IF(INT(R151)=TODAY(),1,IF(INT(R151)=TODAY()+1,2,0)),0))</f>
        <v/>
      </c>
      <c r="Y151" s="0" t="str">
        <f aca="false">IF(OR(X151=1,X151=2),COUNTIF($X$2:X151,1)+COUNTIF($X$2:X151,2),"")</f>
        <v/>
      </c>
    </row>
    <row r="152" customFormat="false" ht="15" hidden="false" customHeight="false" outlineLevel="0" collapsed="false">
      <c r="A152" s="96"/>
      <c r="B152" s="97"/>
      <c r="C152" s="96"/>
      <c r="D152" s="96"/>
      <c r="E152" s="96"/>
      <c r="F152" s="96"/>
      <c r="G152" s="96"/>
      <c r="H152" s="96"/>
      <c r="I152" s="98"/>
      <c r="J152" s="96"/>
      <c r="K152" s="96"/>
      <c r="L152" s="96"/>
      <c r="M152" s="96"/>
      <c r="N152" s="96"/>
      <c r="O152" s="96"/>
      <c r="P152" s="96"/>
      <c r="Q152" s="96"/>
      <c r="R152" s="97"/>
      <c r="S152" s="97"/>
      <c r="T152" s="96"/>
      <c r="U152" s="0" t="str">
        <f aca="true">IF(A152="","",IF(AND(R152&lt;&gt;"",R152&lt;=TODAY()+30,P152="Yes",Q152="Yes",N152&lt;&gt;"Do Not Contact"),1,0))</f>
        <v/>
      </c>
      <c r="V152" s="0" t="str">
        <f aca="false">IF(U152=1,COUNTIF($U$2:U152,1),"")</f>
        <v/>
      </c>
      <c r="W152" s="0" t="str">
        <f aca="false">IF(A152="","",A152&amp;" | "&amp;C152)</f>
        <v/>
      </c>
      <c r="X152" s="0" t="str">
        <f aca="true">IF(A152="","",IF(AND(R152&lt;&gt;"",P152="Yes",Q152="Yes",N152&lt;&gt;"Do Not Contact"),IF(INT(R152)=TODAY(),1,IF(INT(R152)=TODAY()+1,2,0)),0))</f>
        <v/>
      </c>
      <c r="Y152" s="0" t="str">
        <f aca="false">IF(OR(X152=1,X152=2),COUNTIF($X$2:X152,1)+COUNTIF($X$2:X152,2),"")</f>
        <v/>
      </c>
    </row>
    <row r="153" customFormat="false" ht="15" hidden="false" customHeight="false" outlineLevel="0" collapsed="false">
      <c r="A153" s="96"/>
      <c r="B153" s="97"/>
      <c r="C153" s="96"/>
      <c r="D153" s="96"/>
      <c r="E153" s="96"/>
      <c r="F153" s="96"/>
      <c r="G153" s="96"/>
      <c r="H153" s="96"/>
      <c r="I153" s="98"/>
      <c r="J153" s="96"/>
      <c r="K153" s="96"/>
      <c r="L153" s="96"/>
      <c r="M153" s="96"/>
      <c r="N153" s="96"/>
      <c r="O153" s="96"/>
      <c r="P153" s="96"/>
      <c r="Q153" s="96"/>
      <c r="R153" s="97"/>
      <c r="S153" s="97"/>
      <c r="T153" s="96"/>
      <c r="U153" s="0" t="str">
        <f aca="true">IF(A153="","",IF(AND(R153&lt;&gt;"",R153&lt;=TODAY()+30,P153="Yes",Q153="Yes",N153&lt;&gt;"Do Not Contact"),1,0))</f>
        <v/>
      </c>
      <c r="V153" s="0" t="str">
        <f aca="false">IF(U153=1,COUNTIF($U$2:U153,1),"")</f>
        <v/>
      </c>
      <c r="W153" s="0" t="str">
        <f aca="false">IF(A153="","",A153&amp;" | "&amp;C153)</f>
        <v/>
      </c>
      <c r="X153" s="0" t="str">
        <f aca="true">IF(A153="","",IF(AND(R153&lt;&gt;"",P153="Yes",Q153="Yes",N153&lt;&gt;"Do Not Contact"),IF(INT(R153)=TODAY(),1,IF(INT(R153)=TODAY()+1,2,0)),0))</f>
        <v/>
      </c>
      <c r="Y153" s="0" t="str">
        <f aca="false">IF(OR(X153=1,X153=2),COUNTIF($X$2:X153,1)+COUNTIF($X$2:X153,2),"")</f>
        <v/>
      </c>
    </row>
    <row r="154" customFormat="false" ht="15" hidden="false" customHeight="false" outlineLevel="0" collapsed="false">
      <c r="A154" s="96"/>
      <c r="B154" s="97"/>
      <c r="C154" s="96"/>
      <c r="D154" s="96"/>
      <c r="E154" s="96"/>
      <c r="F154" s="96"/>
      <c r="G154" s="96"/>
      <c r="H154" s="96"/>
      <c r="I154" s="98"/>
      <c r="J154" s="96"/>
      <c r="K154" s="96"/>
      <c r="L154" s="96"/>
      <c r="M154" s="96"/>
      <c r="N154" s="96"/>
      <c r="O154" s="96"/>
      <c r="P154" s="96"/>
      <c r="Q154" s="96"/>
      <c r="R154" s="97"/>
      <c r="S154" s="97"/>
      <c r="T154" s="96"/>
      <c r="U154" s="0" t="str">
        <f aca="true">IF(A154="","",IF(AND(R154&lt;&gt;"",R154&lt;=TODAY()+30,P154="Yes",Q154="Yes",N154&lt;&gt;"Do Not Contact"),1,0))</f>
        <v/>
      </c>
      <c r="V154" s="0" t="str">
        <f aca="false">IF(U154=1,COUNTIF($U$2:U154,1),"")</f>
        <v/>
      </c>
      <c r="W154" s="0" t="str">
        <f aca="false">IF(A154="","",A154&amp;" | "&amp;C154)</f>
        <v/>
      </c>
      <c r="X154" s="0" t="str">
        <f aca="true">IF(A154="","",IF(AND(R154&lt;&gt;"",P154="Yes",Q154="Yes",N154&lt;&gt;"Do Not Contact"),IF(INT(R154)=TODAY(),1,IF(INT(R154)=TODAY()+1,2,0)),0))</f>
        <v/>
      </c>
      <c r="Y154" s="0" t="str">
        <f aca="false">IF(OR(X154=1,X154=2),COUNTIF($X$2:X154,1)+COUNTIF($X$2:X154,2),"")</f>
        <v/>
      </c>
    </row>
    <row r="155" customFormat="false" ht="15" hidden="false" customHeight="false" outlineLevel="0" collapsed="false">
      <c r="A155" s="96"/>
      <c r="B155" s="97"/>
      <c r="C155" s="96"/>
      <c r="D155" s="96"/>
      <c r="E155" s="96"/>
      <c r="F155" s="96"/>
      <c r="G155" s="96"/>
      <c r="H155" s="96"/>
      <c r="I155" s="98"/>
      <c r="J155" s="96"/>
      <c r="K155" s="96"/>
      <c r="L155" s="96"/>
      <c r="M155" s="96"/>
      <c r="N155" s="96"/>
      <c r="O155" s="96"/>
      <c r="P155" s="96"/>
      <c r="Q155" s="96"/>
      <c r="R155" s="97"/>
      <c r="S155" s="97"/>
      <c r="T155" s="96"/>
      <c r="U155" s="0" t="str">
        <f aca="true">IF(A155="","",IF(AND(R155&lt;&gt;"",R155&lt;=TODAY()+30,P155="Yes",Q155="Yes",N155&lt;&gt;"Do Not Contact"),1,0))</f>
        <v/>
      </c>
      <c r="V155" s="0" t="str">
        <f aca="false">IF(U155=1,COUNTIF($U$2:U155,1),"")</f>
        <v/>
      </c>
      <c r="W155" s="0" t="str">
        <f aca="false">IF(A155="","",A155&amp;" | "&amp;C155)</f>
        <v/>
      </c>
      <c r="X155" s="0" t="str">
        <f aca="true">IF(A155="","",IF(AND(R155&lt;&gt;"",P155="Yes",Q155="Yes",N155&lt;&gt;"Do Not Contact"),IF(INT(R155)=TODAY(),1,IF(INT(R155)=TODAY()+1,2,0)),0))</f>
        <v/>
      </c>
      <c r="Y155" s="0" t="str">
        <f aca="false">IF(OR(X155=1,X155=2),COUNTIF($X$2:X155,1)+COUNTIF($X$2:X155,2),"")</f>
        <v/>
      </c>
    </row>
    <row r="156" customFormat="false" ht="15" hidden="false" customHeight="false" outlineLevel="0" collapsed="false">
      <c r="A156" s="96"/>
      <c r="B156" s="97"/>
      <c r="C156" s="96"/>
      <c r="D156" s="96"/>
      <c r="E156" s="96"/>
      <c r="F156" s="96"/>
      <c r="G156" s="96"/>
      <c r="H156" s="96"/>
      <c r="I156" s="98"/>
      <c r="J156" s="96"/>
      <c r="K156" s="96"/>
      <c r="L156" s="96"/>
      <c r="M156" s="96"/>
      <c r="N156" s="96"/>
      <c r="O156" s="96"/>
      <c r="P156" s="96"/>
      <c r="Q156" s="96"/>
      <c r="R156" s="97"/>
      <c r="S156" s="97"/>
      <c r="T156" s="96"/>
      <c r="U156" s="0" t="str">
        <f aca="true">IF(A156="","",IF(AND(R156&lt;&gt;"",R156&lt;=TODAY()+30,P156="Yes",Q156="Yes",N156&lt;&gt;"Do Not Contact"),1,0))</f>
        <v/>
      </c>
      <c r="V156" s="0" t="str">
        <f aca="false">IF(U156=1,COUNTIF($U$2:U156,1),"")</f>
        <v/>
      </c>
      <c r="W156" s="0" t="str">
        <f aca="false">IF(A156="","",A156&amp;" | "&amp;C156)</f>
        <v/>
      </c>
      <c r="X156" s="0" t="str">
        <f aca="true">IF(A156="","",IF(AND(R156&lt;&gt;"",P156="Yes",Q156="Yes",N156&lt;&gt;"Do Not Contact"),IF(INT(R156)=TODAY(),1,IF(INT(R156)=TODAY()+1,2,0)),0))</f>
        <v/>
      </c>
      <c r="Y156" s="0" t="str">
        <f aca="false">IF(OR(X156=1,X156=2),COUNTIF($X$2:X156,1)+COUNTIF($X$2:X156,2),"")</f>
        <v/>
      </c>
    </row>
    <row r="157" customFormat="false" ht="15" hidden="false" customHeight="false" outlineLevel="0" collapsed="false">
      <c r="A157" s="96"/>
      <c r="B157" s="97"/>
      <c r="C157" s="96"/>
      <c r="D157" s="96"/>
      <c r="E157" s="96"/>
      <c r="F157" s="96"/>
      <c r="G157" s="96"/>
      <c r="H157" s="96"/>
      <c r="I157" s="98"/>
      <c r="J157" s="96"/>
      <c r="K157" s="96"/>
      <c r="L157" s="96"/>
      <c r="M157" s="96"/>
      <c r="N157" s="96"/>
      <c r="O157" s="96"/>
      <c r="P157" s="96"/>
      <c r="Q157" s="96"/>
      <c r="R157" s="97"/>
      <c r="S157" s="97"/>
      <c r="T157" s="96"/>
      <c r="U157" s="0" t="str">
        <f aca="true">IF(A157="","",IF(AND(R157&lt;&gt;"",R157&lt;=TODAY()+30,P157="Yes",Q157="Yes",N157&lt;&gt;"Do Not Contact"),1,0))</f>
        <v/>
      </c>
      <c r="V157" s="0" t="str">
        <f aca="false">IF(U157=1,COUNTIF($U$2:U157,1),"")</f>
        <v/>
      </c>
      <c r="W157" s="0" t="str">
        <f aca="false">IF(A157="","",A157&amp;" | "&amp;C157)</f>
        <v/>
      </c>
      <c r="X157" s="0" t="str">
        <f aca="true">IF(A157="","",IF(AND(R157&lt;&gt;"",P157="Yes",Q157="Yes",N157&lt;&gt;"Do Not Contact"),IF(INT(R157)=TODAY(),1,IF(INT(R157)=TODAY()+1,2,0)),0))</f>
        <v/>
      </c>
      <c r="Y157" s="0" t="str">
        <f aca="false">IF(OR(X157=1,X157=2),COUNTIF($X$2:X157,1)+COUNTIF($X$2:X157,2),"")</f>
        <v/>
      </c>
    </row>
    <row r="158" customFormat="false" ht="15" hidden="false" customHeight="false" outlineLevel="0" collapsed="false">
      <c r="A158" s="96"/>
      <c r="B158" s="97"/>
      <c r="C158" s="96"/>
      <c r="D158" s="96"/>
      <c r="E158" s="96"/>
      <c r="F158" s="96"/>
      <c r="G158" s="96"/>
      <c r="H158" s="96"/>
      <c r="I158" s="98"/>
      <c r="J158" s="96"/>
      <c r="K158" s="96"/>
      <c r="L158" s="96"/>
      <c r="M158" s="96"/>
      <c r="N158" s="96"/>
      <c r="O158" s="96"/>
      <c r="P158" s="96"/>
      <c r="Q158" s="96"/>
      <c r="R158" s="97"/>
      <c r="S158" s="97"/>
      <c r="T158" s="96"/>
      <c r="U158" s="0" t="str">
        <f aca="true">IF(A158="","",IF(AND(R158&lt;&gt;"",R158&lt;=TODAY()+30,P158="Yes",Q158="Yes",N158&lt;&gt;"Do Not Contact"),1,0))</f>
        <v/>
      </c>
      <c r="V158" s="0" t="str">
        <f aca="false">IF(U158=1,COUNTIF($U$2:U158,1),"")</f>
        <v/>
      </c>
      <c r="W158" s="0" t="str">
        <f aca="false">IF(A158="","",A158&amp;" | "&amp;C158)</f>
        <v/>
      </c>
      <c r="X158" s="0" t="str">
        <f aca="true">IF(A158="","",IF(AND(R158&lt;&gt;"",P158="Yes",Q158="Yes",N158&lt;&gt;"Do Not Contact"),IF(INT(R158)=TODAY(),1,IF(INT(R158)=TODAY()+1,2,0)),0))</f>
        <v/>
      </c>
      <c r="Y158" s="0" t="str">
        <f aca="false">IF(OR(X158=1,X158=2),COUNTIF($X$2:X158,1)+COUNTIF($X$2:X158,2),"")</f>
        <v/>
      </c>
    </row>
    <row r="159" customFormat="false" ht="15" hidden="false" customHeight="false" outlineLevel="0" collapsed="false">
      <c r="A159" s="96"/>
      <c r="B159" s="97"/>
      <c r="C159" s="96"/>
      <c r="D159" s="96"/>
      <c r="E159" s="96"/>
      <c r="F159" s="96"/>
      <c r="G159" s="96"/>
      <c r="H159" s="96"/>
      <c r="I159" s="98"/>
      <c r="J159" s="96"/>
      <c r="K159" s="96"/>
      <c r="L159" s="96"/>
      <c r="M159" s="96"/>
      <c r="N159" s="96"/>
      <c r="O159" s="96"/>
      <c r="P159" s="96"/>
      <c r="Q159" s="96"/>
      <c r="R159" s="97"/>
      <c r="S159" s="97"/>
      <c r="T159" s="96"/>
      <c r="U159" s="0" t="str">
        <f aca="true">IF(A159="","",IF(AND(R159&lt;&gt;"",R159&lt;=TODAY()+30,P159="Yes",Q159="Yes",N159&lt;&gt;"Do Not Contact"),1,0))</f>
        <v/>
      </c>
      <c r="V159" s="0" t="str">
        <f aca="false">IF(U159=1,COUNTIF($U$2:U159,1),"")</f>
        <v/>
      </c>
      <c r="W159" s="0" t="str">
        <f aca="false">IF(A159="","",A159&amp;" | "&amp;C159)</f>
        <v/>
      </c>
      <c r="X159" s="0" t="str">
        <f aca="true">IF(A159="","",IF(AND(R159&lt;&gt;"",P159="Yes",Q159="Yes",N159&lt;&gt;"Do Not Contact"),IF(INT(R159)=TODAY(),1,IF(INT(R159)=TODAY()+1,2,0)),0))</f>
        <v/>
      </c>
      <c r="Y159" s="0" t="str">
        <f aca="false">IF(OR(X159=1,X159=2),COUNTIF($X$2:X159,1)+COUNTIF($X$2:X159,2),"")</f>
        <v/>
      </c>
    </row>
    <row r="160" customFormat="false" ht="15" hidden="false" customHeight="false" outlineLevel="0" collapsed="false">
      <c r="A160" s="96"/>
      <c r="B160" s="97"/>
      <c r="C160" s="96"/>
      <c r="D160" s="96"/>
      <c r="E160" s="96"/>
      <c r="F160" s="96"/>
      <c r="G160" s="96"/>
      <c r="H160" s="96"/>
      <c r="I160" s="98"/>
      <c r="J160" s="96"/>
      <c r="K160" s="96"/>
      <c r="L160" s="96"/>
      <c r="M160" s="96"/>
      <c r="N160" s="96"/>
      <c r="O160" s="96"/>
      <c r="P160" s="96"/>
      <c r="Q160" s="96"/>
      <c r="R160" s="97"/>
      <c r="S160" s="97"/>
      <c r="T160" s="96"/>
      <c r="U160" s="0" t="str">
        <f aca="true">IF(A160="","",IF(AND(R160&lt;&gt;"",R160&lt;=TODAY()+30,P160="Yes",Q160="Yes",N160&lt;&gt;"Do Not Contact"),1,0))</f>
        <v/>
      </c>
      <c r="V160" s="0" t="str">
        <f aca="false">IF(U160=1,COUNTIF($U$2:U160,1),"")</f>
        <v/>
      </c>
      <c r="W160" s="0" t="str">
        <f aca="false">IF(A160="","",A160&amp;" | "&amp;C160)</f>
        <v/>
      </c>
      <c r="X160" s="0" t="str">
        <f aca="true">IF(A160="","",IF(AND(R160&lt;&gt;"",P160="Yes",Q160="Yes",N160&lt;&gt;"Do Not Contact"),IF(INT(R160)=TODAY(),1,IF(INT(R160)=TODAY()+1,2,0)),0))</f>
        <v/>
      </c>
      <c r="Y160" s="0" t="str">
        <f aca="false">IF(OR(X160=1,X160=2),COUNTIF($X$2:X160,1)+COUNTIF($X$2:X160,2),"")</f>
        <v/>
      </c>
    </row>
    <row r="161" customFormat="false" ht="15" hidden="false" customHeight="false" outlineLevel="0" collapsed="false">
      <c r="A161" s="96"/>
      <c r="B161" s="97"/>
      <c r="C161" s="96"/>
      <c r="D161" s="96"/>
      <c r="E161" s="96"/>
      <c r="F161" s="96"/>
      <c r="G161" s="96"/>
      <c r="H161" s="96"/>
      <c r="I161" s="98"/>
      <c r="J161" s="96"/>
      <c r="K161" s="96"/>
      <c r="L161" s="96"/>
      <c r="M161" s="96"/>
      <c r="N161" s="96"/>
      <c r="O161" s="96"/>
      <c r="P161" s="96"/>
      <c r="Q161" s="96"/>
      <c r="R161" s="97"/>
      <c r="S161" s="97"/>
      <c r="T161" s="96"/>
      <c r="U161" s="0" t="str">
        <f aca="true">IF(A161="","",IF(AND(R161&lt;&gt;"",R161&lt;=TODAY()+30,P161="Yes",Q161="Yes",N161&lt;&gt;"Do Not Contact"),1,0))</f>
        <v/>
      </c>
      <c r="V161" s="0" t="str">
        <f aca="false">IF(U161=1,COUNTIF($U$2:U161,1),"")</f>
        <v/>
      </c>
      <c r="W161" s="0" t="str">
        <f aca="false">IF(A161="","",A161&amp;" | "&amp;C161)</f>
        <v/>
      </c>
      <c r="X161" s="0" t="str">
        <f aca="true">IF(A161="","",IF(AND(R161&lt;&gt;"",P161="Yes",Q161="Yes",N161&lt;&gt;"Do Not Contact"),IF(INT(R161)=TODAY(),1,IF(INT(R161)=TODAY()+1,2,0)),0))</f>
        <v/>
      </c>
      <c r="Y161" s="0" t="str">
        <f aca="false">IF(OR(X161=1,X161=2),COUNTIF($X$2:X161,1)+COUNTIF($X$2:X161,2),"")</f>
        <v/>
      </c>
    </row>
    <row r="162" customFormat="false" ht="15" hidden="false" customHeight="false" outlineLevel="0" collapsed="false">
      <c r="A162" s="96"/>
      <c r="B162" s="97"/>
      <c r="C162" s="96"/>
      <c r="D162" s="96"/>
      <c r="E162" s="96"/>
      <c r="F162" s="96"/>
      <c r="G162" s="96"/>
      <c r="H162" s="96"/>
      <c r="I162" s="98"/>
      <c r="J162" s="96"/>
      <c r="K162" s="96"/>
      <c r="L162" s="96"/>
      <c r="M162" s="96"/>
      <c r="N162" s="96"/>
      <c r="O162" s="96"/>
      <c r="P162" s="96"/>
      <c r="Q162" s="96"/>
      <c r="R162" s="97"/>
      <c r="S162" s="97"/>
      <c r="T162" s="96"/>
      <c r="U162" s="0" t="str">
        <f aca="true">IF(A162="","",IF(AND(R162&lt;&gt;"",R162&lt;=TODAY()+30,P162="Yes",Q162="Yes",N162&lt;&gt;"Do Not Contact"),1,0))</f>
        <v/>
      </c>
      <c r="V162" s="0" t="str">
        <f aca="false">IF(U162=1,COUNTIF($U$2:U162,1),"")</f>
        <v/>
      </c>
      <c r="W162" s="0" t="str">
        <f aca="false">IF(A162="","",A162&amp;" | "&amp;C162)</f>
        <v/>
      </c>
      <c r="X162" s="0" t="str">
        <f aca="true">IF(A162="","",IF(AND(R162&lt;&gt;"",P162="Yes",Q162="Yes",N162&lt;&gt;"Do Not Contact"),IF(INT(R162)=TODAY(),1,IF(INT(R162)=TODAY()+1,2,0)),0))</f>
        <v/>
      </c>
      <c r="Y162" s="0" t="str">
        <f aca="false">IF(OR(X162=1,X162=2),COUNTIF($X$2:X162,1)+COUNTIF($X$2:X162,2),"")</f>
        <v/>
      </c>
    </row>
    <row r="163" customFormat="false" ht="15" hidden="false" customHeight="false" outlineLevel="0" collapsed="false">
      <c r="A163" s="96"/>
      <c r="B163" s="97"/>
      <c r="C163" s="96"/>
      <c r="D163" s="96"/>
      <c r="E163" s="96"/>
      <c r="F163" s="96"/>
      <c r="G163" s="96"/>
      <c r="H163" s="96"/>
      <c r="I163" s="98"/>
      <c r="J163" s="96"/>
      <c r="K163" s="96"/>
      <c r="L163" s="96"/>
      <c r="M163" s="96"/>
      <c r="N163" s="96"/>
      <c r="O163" s="96"/>
      <c r="P163" s="96"/>
      <c r="Q163" s="96"/>
      <c r="R163" s="97"/>
      <c r="S163" s="97"/>
      <c r="T163" s="96"/>
      <c r="U163" s="0" t="str">
        <f aca="true">IF(A163="","",IF(AND(R163&lt;&gt;"",R163&lt;=TODAY()+30,P163="Yes",Q163="Yes",N163&lt;&gt;"Do Not Contact"),1,0))</f>
        <v/>
      </c>
      <c r="V163" s="0" t="str">
        <f aca="false">IF(U163=1,COUNTIF($U$2:U163,1),"")</f>
        <v/>
      </c>
      <c r="W163" s="0" t="str">
        <f aca="false">IF(A163="","",A163&amp;" | "&amp;C163)</f>
        <v/>
      </c>
      <c r="X163" s="0" t="str">
        <f aca="true">IF(A163="","",IF(AND(R163&lt;&gt;"",P163="Yes",Q163="Yes",N163&lt;&gt;"Do Not Contact"),IF(INT(R163)=TODAY(),1,IF(INT(R163)=TODAY()+1,2,0)),0))</f>
        <v/>
      </c>
      <c r="Y163" s="0" t="str">
        <f aca="false">IF(OR(X163=1,X163=2),COUNTIF($X$2:X163,1)+COUNTIF($X$2:X163,2),"")</f>
        <v/>
      </c>
    </row>
    <row r="164" customFormat="false" ht="15" hidden="false" customHeight="false" outlineLevel="0" collapsed="false">
      <c r="A164" s="96"/>
      <c r="B164" s="97"/>
      <c r="C164" s="96"/>
      <c r="D164" s="96"/>
      <c r="E164" s="96"/>
      <c r="F164" s="96"/>
      <c r="G164" s="96"/>
      <c r="H164" s="96"/>
      <c r="I164" s="98"/>
      <c r="J164" s="96"/>
      <c r="K164" s="96"/>
      <c r="L164" s="96"/>
      <c r="M164" s="96"/>
      <c r="N164" s="96"/>
      <c r="O164" s="96"/>
      <c r="P164" s="96"/>
      <c r="Q164" s="96"/>
      <c r="R164" s="97"/>
      <c r="S164" s="97"/>
      <c r="T164" s="96"/>
      <c r="U164" s="0" t="str">
        <f aca="true">IF(A164="","",IF(AND(R164&lt;&gt;"",R164&lt;=TODAY()+30,P164="Yes",Q164="Yes",N164&lt;&gt;"Do Not Contact"),1,0))</f>
        <v/>
      </c>
      <c r="V164" s="0" t="str">
        <f aca="false">IF(U164=1,COUNTIF($U$2:U164,1),"")</f>
        <v/>
      </c>
      <c r="W164" s="0" t="str">
        <f aca="false">IF(A164="","",A164&amp;" | "&amp;C164)</f>
        <v/>
      </c>
      <c r="X164" s="0" t="str">
        <f aca="true">IF(A164="","",IF(AND(R164&lt;&gt;"",P164="Yes",Q164="Yes",N164&lt;&gt;"Do Not Contact"),IF(INT(R164)=TODAY(),1,IF(INT(R164)=TODAY()+1,2,0)),0))</f>
        <v/>
      </c>
      <c r="Y164" s="0" t="str">
        <f aca="false">IF(OR(X164=1,X164=2),COUNTIF($X$2:X164,1)+COUNTIF($X$2:X164,2),"")</f>
        <v/>
      </c>
    </row>
    <row r="165" customFormat="false" ht="15" hidden="false" customHeight="false" outlineLevel="0" collapsed="false">
      <c r="A165" s="96"/>
      <c r="B165" s="97"/>
      <c r="C165" s="96"/>
      <c r="D165" s="96"/>
      <c r="E165" s="96"/>
      <c r="F165" s="96"/>
      <c r="G165" s="96"/>
      <c r="H165" s="96"/>
      <c r="I165" s="98"/>
      <c r="J165" s="96"/>
      <c r="K165" s="96"/>
      <c r="L165" s="96"/>
      <c r="M165" s="96"/>
      <c r="N165" s="96"/>
      <c r="O165" s="96"/>
      <c r="P165" s="96"/>
      <c r="Q165" s="96"/>
      <c r="R165" s="97"/>
      <c r="S165" s="97"/>
      <c r="T165" s="96"/>
      <c r="U165" s="0" t="str">
        <f aca="true">IF(A165="","",IF(AND(R165&lt;&gt;"",R165&lt;=TODAY()+30,P165="Yes",Q165="Yes",N165&lt;&gt;"Do Not Contact"),1,0))</f>
        <v/>
      </c>
      <c r="V165" s="0" t="str">
        <f aca="false">IF(U165=1,COUNTIF($U$2:U165,1),"")</f>
        <v/>
      </c>
      <c r="W165" s="0" t="str">
        <f aca="false">IF(A165="","",A165&amp;" | "&amp;C165)</f>
        <v/>
      </c>
      <c r="X165" s="0" t="str">
        <f aca="true">IF(A165="","",IF(AND(R165&lt;&gt;"",P165="Yes",Q165="Yes",N165&lt;&gt;"Do Not Contact"),IF(INT(R165)=TODAY(),1,IF(INT(R165)=TODAY()+1,2,0)),0))</f>
        <v/>
      </c>
      <c r="Y165" s="0" t="str">
        <f aca="false">IF(OR(X165=1,X165=2),COUNTIF($X$2:X165,1)+COUNTIF($X$2:X165,2),"")</f>
        <v/>
      </c>
    </row>
    <row r="166" customFormat="false" ht="15" hidden="false" customHeight="false" outlineLevel="0" collapsed="false">
      <c r="A166" s="96"/>
      <c r="B166" s="97"/>
      <c r="C166" s="96"/>
      <c r="D166" s="96"/>
      <c r="E166" s="96"/>
      <c r="F166" s="96"/>
      <c r="G166" s="96"/>
      <c r="H166" s="96"/>
      <c r="I166" s="98"/>
      <c r="J166" s="96"/>
      <c r="K166" s="96"/>
      <c r="L166" s="96"/>
      <c r="M166" s="96"/>
      <c r="N166" s="96"/>
      <c r="O166" s="96"/>
      <c r="P166" s="96"/>
      <c r="Q166" s="96"/>
      <c r="R166" s="97"/>
      <c r="S166" s="97"/>
      <c r="T166" s="96"/>
      <c r="U166" s="0" t="str">
        <f aca="true">IF(A166="","",IF(AND(R166&lt;&gt;"",R166&lt;=TODAY()+30,P166="Yes",Q166="Yes",N166&lt;&gt;"Do Not Contact"),1,0))</f>
        <v/>
      </c>
      <c r="V166" s="0" t="str">
        <f aca="false">IF(U166=1,COUNTIF($U$2:U166,1),"")</f>
        <v/>
      </c>
      <c r="W166" s="0" t="str">
        <f aca="false">IF(A166="","",A166&amp;" | "&amp;C166)</f>
        <v/>
      </c>
      <c r="X166" s="0" t="str">
        <f aca="true">IF(A166="","",IF(AND(R166&lt;&gt;"",P166="Yes",Q166="Yes",N166&lt;&gt;"Do Not Contact"),IF(INT(R166)=TODAY(),1,IF(INT(R166)=TODAY()+1,2,0)),0))</f>
        <v/>
      </c>
      <c r="Y166" s="0" t="str">
        <f aca="false">IF(OR(X166=1,X166=2),COUNTIF($X$2:X166,1)+COUNTIF($X$2:X166,2),"")</f>
        <v/>
      </c>
    </row>
    <row r="167" customFormat="false" ht="15" hidden="false" customHeight="false" outlineLevel="0" collapsed="false">
      <c r="A167" s="96"/>
      <c r="B167" s="97"/>
      <c r="C167" s="96"/>
      <c r="D167" s="96"/>
      <c r="E167" s="96"/>
      <c r="F167" s="96"/>
      <c r="G167" s="96"/>
      <c r="H167" s="96"/>
      <c r="I167" s="98"/>
      <c r="J167" s="96"/>
      <c r="K167" s="96"/>
      <c r="L167" s="96"/>
      <c r="M167" s="96"/>
      <c r="N167" s="96"/>
      <c r="O167" s="96"/>
      <c r="P167" s="96"/>
      <c r="Q167" s="96"/>
      <c r="R167" s="97"/>
      <c r="S167" s="97"/>
      <c r="T167" s="96"/>
      <c r="U167" s="0" t="str">
        <f aca="true">IF(A167="","",IF(AND(R167&lt;&gt;"",R167&lt;=TODAY()+30,P167="Yes",Q167="Yes",N167&lt;&gt;"Do Not Contact"),1,0))</f>
        <v/>
      </c>
      <c r="V167" s="0" t="str">
        <f aca="false">IF(U167=1,COUNTIF($U$2:U167,1),"")</f>
        <v/>
      </c>
      <c r="W167" s="0" t="str">
        <f aca="false">IF(A167="","",A167&amp;" | "&amp;C167)</f>
        <v/>
      </c>
      <c r="X167" s="0" t="str">
        <f aca="true">IF(A167="","",IF(AND(R167&lt;&gt;"",P167="Yes",Q167="Yes",N167&lt;&gt;"Do Not Contact"),IF(INT(R167)=TODAY(),1,IF(INT(R167)=TODAY()+1,2,0)),0))</f>
        <v/>
      </c>
      <c r="Y167" s="0" t="str">
        <f aca="false">IF(OR(X167=1,X167=2),COUNTIF($X$2:X167,1)+COUNTIF($X$2:X167,2),"")</f>
        <v/>
      </c>
    </row>
    <row r="168" customFormat="false" ht="15" hidden="false" customHeight="false" outlineLevel="0" collapsed="false">
      <c r="A168" s="96"/>
      <c r="B168" s="97"/>
      <c r="C168" s="96"/>
      <c r="D168" s="96"/>
      <c r="E168" s="96"/>
      <c r="F168" s="96"/>
      <c r="G168" s="96"/>
      <c r="H168" s="96"/>
      <c r="I168" s="98"/>
      <c r="J168" s="96"/>
      <c r="K168" s="96"/>
      <c r="L168" s="96"/>
      <c r="M168" s="96"/>
      <c r="N168" s="96"/>
      <c r="O168" s="96"/>
      <c r="P168" s="96"/>
      <c r="Q168" s="96"/>
      <c r="R168" s="97"/>
      <c r="S168" s="97"/>
      <c r="T168" s="96"/>
      <c r="U168" s="0" t="str">
        <f aca="true">IF(A168="","",IF(AND(R168&lt;&gt;"",R168&lt;=TODAY()+30,P168="Yes",Q168="Yes",N168&lt;&gt;"Do Not Contact"),1,0))</f>
        <v/>
      </c>
      <c r="V168" s="0" t="str">
        <f aca="false">IF(U168=1,COUNTIF($U$2:U168,1),"")</f>
        <v/>
      </c>
      <c r="W168" s="0" t="str">
        <f aca="false">IF(A168="","",A168&amp;" | "&amp;C168)</f>
        <v/>
      </c>
      <c r="X168" s="0" t="str">
        <f aca="true">IF(A168="","",IF(AND(R168&lt;&gt;"",P168="Yes",Q168="Yes",N168&lt;&gt;"Do Not Contact"),IF(INT(R168)=TODAY(),1,IF(INT(R168)=TODAY()+1,2,0)),0))</f>
        <v/>
      </c>
      <c r="Y168" s="0" t="str">
        <f aca="false">IF(OR(X168=1,X168=2),COUNTIF($X$2:X168,1)+COUNTIF($X$2:X168,2),"")</f>
        <v/>
      </c>
    </row>
    <row r="169" customFormat="false" ht="15" hidden="false" customHeight="false" outlineLevel="0" collapsed="false">
      <c r="A169" s="96"/>
      <c r="B169" s="97"/>
      <c r="C169" s="96"/>
      <c r="D169" s="96"/>
      <c r="E169" s="96"/>
      <c r="F169" s="96"/>
      <c r="G169" s="96"/>
      <c r="H169" s="96"/>
      <c r="I169" s="98"/>
      <c r="J169" s="96"/>
      <c r="K169" s="96"/>
      <c r="L169" s="96"/>
      <c r="M169" s="96"/>
      <c r="N169" s="96"/>
      <c r="O169" s="96"/>
      <c r="P169" s="96"/>
      <c r="Q169" s="96"/>
      <c r="R169" s="97"/>
      <c r="S169" s="97"/>
      <c r="T169" s="96"/>
      <c r="U169" s="0" t="str">
        <f aca="true">IF(A169="","",IF(AND(R169&lt;&gt;"",R169&lt;=TODAY()+30,P169="Yes",Q169="Yes",N169&lt;&gt;"Do Not Contact"),1,0))</f>
        <v/>
      </c>
      <c r="V169" s="0" t="str">
        <f aca="false">IF(U169=1,COUNTIF($U$2:U169,1),"")</f>
        <v/>
      </c>
      <c r="W169" s="0" t="str">
        <f aca="false">IF(A169="","",A169&amp;" | "&amp;C169)</f>
        <v/>
      </c>
      <c r="X169" s="0" t="str">
        <f aca="true">IF(A169="","",IF(AND(R169&lt;&gt;"",P169="Yes",Q169="Yes",N169&lt;&gt;"Do Not Contact"),IF(INT(R169)=TODAY(),1,IF(INT(R169)=TODAY()+1,2,0)),0))</f>
        <v/>
      </c>
      <c r="Y169" s="0" t="str">
        <f aca="false">IF(OR(X169=1,X169=2),COUNTIF($X$2:X169,1)+COUNTIF($X$2:X169,2),"")</f>
        <v/>
      </c>
    </row>
    <row r="170" customFormat="false" ht="15" hidden="false" customHeight="false" outlineLevel="0" collapsed="false">
      <c r="A170" s="96"/>
      <c r="B170" s="97"/>
      <c r="C170" s="96"/>
      <c r="D170" s="96"/>
      <c r="E170" s="96"/>
      <c r="F170" s="96"/>
      <c r="G170" s="96"/>
      <c r="H170" s="96"/>
      <c r="I170" s="98"/>
      <c r="J170" s="96"/>
      <c r="K170" s="96"/>
      <c r="L170" s="96"/>
      <c r="M170" s="96"/>
      <c r="N170" s="96"/>
      <c r="O170" s="96"/>
      <c r="P170" s="96"/>
      <c r="Q170" s="96"/>
      <c r="R170" s="97"/>
      <c r="S170" s="97"/>
      <c r="T170" s="96"/>
      <c r="U170" s="0" t="str">
        <f aca="true">IF(A170="","",IF(AND(R170&lt;&gt;"",R170&lt;=TODAY()+30,P170="Yes",Q170="Yes",N170&lt;&gt;"Do Not Contact"),1,0))</f>
        <v/>
      </c>
      <c r="V170" s="0" t="str">
        <f aca="false">IF(U170=1,COUNTIF($U$2:U170,1),"")</f>
        <v/>
      </c>
      <c r="W170" s="0" t="str">
        <f aca="false">IF(A170="","",A170&amp;" | "&amp;C170)</f>
        <v/>
      </c>
      <c r="X170" s="0" t="str">
        <f aca="true">IF(A170="","",IF(AND(R170&lt;&gt;"",P170="Yes",Q170="Yes",N170&lt;&gt;"Do Not Contact"),IF(INT(R170)=TODAY(),1,IF(INT(R170)=TODAY()+1,2,0)),0))</f>
        <v/>
      </c>
      <c r="Y170" s="0" t="str">
        <f aca="false">IF(OR(X170=1,X170=2),COUNTIF($X$2:X170,1)+COUNTIF($X$2:X170,2),"")</f>
        <v/>
      </c>
    </row>
    <row r="171" customFormat="false" ht="15" hidden="false" customHeight="false" outlineLevel="0" collapsed="false">
      <c r="A171" s="96"/>
      <c r="B171" s="97"/>
      <c r="C171" s="96"/>
      <c r="D171" s="96"/>
      <c r="E171" s="96"/>
      <c r="F171" s="96"/>
      <c r="G171" s="96"/>
      <c r="H171" s="96"/>
      <c r="I171" s="98"/>
      <c r="J171" s="96"/>
      <c r="K171" s="96"/>
      <c r="L171" s="96"/>
      <c r="M171" s="96"/>
      <c r="N171" s="96"/>
      <c r="O171" s="96"/>
      <c r="P171" s="96"/>
      <c r="Q171" s="96"/>
      <c r="R171" s="97"/>
      <c r="S171" s="97"/>
      <c r="T171" s="96"/>
      <c r="U171" s="0" t="str">
        <f aca="true">IF(A171="","",IF(AND(R171&lt;&gt;"",R171&lt;=TODAY()+30,P171="Yes",Q171="Yes",N171&lt;&gt;"Do Not Contact"),1,0))</f>
        <v/>
      </c>
      <c r="V171" s="0" t="str">
        <f aca="false">IF(U171=1,COUNTIF($U$2:U171,1),"")</f>
        <v/>
      </c>
      <c r="W171" s="0" t="str">
        <f aca="false">IF(A171="","",A171&amp;" | "&amp;C171)</f>
        <v/>
      </c>
      <c r="X171" s="0" t="str">
        <f aca="true">IF(A171="","",IF(AND(R171&lt;&gt;"",P171="Yes",Q171="Yes",N171&lt;&gt;"Do Not Contact"),IF(INT(R171)=TODAY(),1,IF(INT(R171)=TODAY()+1,2,0)),0))</f>
        <v/>
      </c>
      <c r="Y171" s="0" t="str">
        <f aca="false">IF(OR(X171=1,X171=2),COUNTIF($X$2:X171,1)+COUNTIF($X$2:X171,2),"")</f>
        <v/>
      </c>
    </row>
    <row r="172" customFormat="false" ht="15" hidden="false" customHeight="false" outlineLevel="0" collapsed="false">
      <c r="A172" s="96"/>
      <c r="B172" s="97"/>
      <c r="C172" s="96"/>
      <c r="D172" s="96"/>
      <c r="E172" s="96"/>
      <c r="F172" s="96"/>
      <c r="G172" s="96"/>
      <c r="H172" s="96"/>
      <c r="I172" s="98"/>
      <c r="J172" s="96"/>
      <c r="K172" s="96"/>
      <c r="L172" s="96"/>
      <c r="M172" s="96"/>
      <c r="N172" s="96"/>
      <c r="O172" s="96"/>
      <c r="P172" s="96"/>
      <c r="Q172" s="96"/>
      <c r="R172" s="97"/>
      <c r="S172" s="97"/>
      <c r="T172" s="96"/>
      <c r="U172" s="0" t="str">
        <f aca="true">IF(A172="","",IF(AND(R172&lt;&gt;"",R172&lt;=TODAY()+30,P172="Yes",Q172="Yes",N172&lt;&gt;"Do Not Contact"),1,0))</f>
        <v/>
      </c>
      <c r="V172" s="0" t="str">
        <f aca="false">IF(U172=1,COUNTIF($U$2:U172,1),"")</f>
        <v/>
      </c>
      <c r="W172" s="0" t="str">
        <f aca="false">IF(A172="","",A172&amp;" | "&amp;C172)</f>
        <v/>
      </c>
      <c r="X172" s="0" t="str">
        <f aca="true">IF(A172="","",IF(AND(R172&lt;&gt;"",P172="Yes",Q172="Yes",N172&lt;&gt;"Do Not Contact"),IF(INT(R172)=TODAY(),1,IF(INT(R172)=TODAY()+1,2,0)),0))</f>
        <v/>
      </c>
      <c r="Y172" s="0" t="str">
        <f aca="false">IF(OR(X172=1,X172=2),COUNTIF($X$2:X172,1)+COUNTIF($X$2:X172,2),"")</f>
        <v/>
      </c>
    </row>
    <row r="173" customFormat="false" ht="15" hidden="false" customHeight="false" outlineLevel="0" collapsed="false">
      <c r="A173" s="96"/>
      <c r="B173" s="97"/>
      <c r="C173" s="96"/>
      <c r="D173" s="96"/>
      <c r="E173" s="96"/>
      <c r="F173" s="96"/>
      <c r="G173" s="96"/>
      <c r="H173" s="96"/>
      <c r="I173" s="98"/>
      <c r="J173" s="96"/>
      <c r="K173" s="96"/>
      <c r="L173" s="96"/>
      <c r="M173" s="96"/>
      <c r="N173" s="96"/>
      <c r="O173" s="96"/>
      <c r="P173" s="96"/>
      <c r="Q173" s="96"/>
      <c r="R173" s="97"/>
      <c r="S173" s="97"/>
      <c r="T173" s="96"/>
      <c r="U173" s="0" t="str">
        <f aca="true">IF(A173="","",IF(AND(R173&lt;&gt;"",R173&lt;=TODAY()+30,P173="Yes",Q173="Yes",N173&lt;&gt;"Do Not Contact"),1,0))</f>
        <v/>
      </c>
      <c r="V173" s="0" t="str">
        <f aca="false">IF(U173=1,COUNTIF($U$2:U173,1),"")</f>
        <v/>
      </c>
      <c r="W173" s="0" t="str">
        <f aca="false">IF(A173="","",A173&amp;" | "&amp;C173)</f>
        <v/>
      </c>
      <c r="X173" s="0" t="str">
        <f aca="true">IF(A173="","",IF(AND(R173&lt;&gt;"",P173="Yes",Q173="Yes",N173&lt;&gt;"Do Not Contact"),IF(INT(R173)=TODAY(),1,IF(INT(R173)=TODAY()+1,2,0)),0))</f>
        <v/>
      </c>
      <c r="Y173" s="0" t="str">
        <f aca="false">IF(OR(X173=1,X173=2),COUNTIF($X$2:X173,1)+COUNTIF($X$2:X173,2),"")</f>
        <v/>
      </c>
    </row>
    <row r="174" customFormat="false" ht="15" hidden="false" customHeight="false" outlineLevel="0" collapsed="false">
      <c r="A174" s="96"/>
      <c r="B174" s="97"/>
      <c r="C174" s="96"/>
      <c r="D174" s="96"/>
      <c r="E174" s="96"/>
      <c r="F174" s="96"/>
      <c r="G174" s="96"/>
      <c r="H174" s="96"/>
      <c r="I174" s="98"/>
      <c r="J174" s="96"/>
      <c r="K174" s="96"/>
      <c r="L174" s="96"/>
      <c r="M174" s="96"/>
      <c r="N174" s="96"/>
      <c r="O174" s="96"/>
      <c r="P174" s="96"/>
      <c r="Q174" s="96"/>
      <c r="R174" s="97"/>
      <c r="S174" s="97"/>
      <c r="T174" s="96"/>
      <c r="U174" s="0" t="str">
        <f aca="true">IF(A174="","",IF(AND(R174&lt;&gt;"",R174&lt;=TODAY()+30,P174="Yes",Q174="Yes",N174&lt;&gt;"Do Not Contact"),1,0))</f>
        <v/>
      </c>
      <c r="V174" s="0" t="str">
        <f aca="false">IF(U174=1,COUNTIF($U$2:U174,1),"")</f>
        <v/>
      </c>
      <c r="W174" s="0" t="str">
        <f aca="false">IF(A174="","",A174&amp;" | "&amp;C174)</f>
        <v/>
      </c>
      <c r="X174" s="0" t="str">
        <f aca="true">IF(A174="","",IF(AND(R174&lt;&gt;"",P174="Yes",Q174="Yes",N174&lt;&gt;"Do Not Contact"),IF(INT(R174)=TODAY(),1,IF(INT(R174)=TODAY()+1,2,0)),0))</f>
        <v/>
      </c>
      <c r="Y174" s="0" t="str">
        <f aca="false">IF(OR(X174=1,X174=2),COUNTIF($X$2:X174,1)+COUNTIF($X$2:X174,2),"")</f>
        <v/>
      </c>
    </row>
    <row r="175" customFormat="false" ht="15" hidden="false" customHeight="false" outlineLevel="0" collapsed="false">
      <c r="A175" s="96"/>
      <c r="B175" s="97"/>
      <c r="C175" s="96"/>
      <c r="D175" s="96"/>
      <c r="E175" s="96"/>
      <c r="F175" s="96"/>
      <c r="G175" s="96"/>
      <c r="H175" s="96"/>
      <c r="I175" s="98"/>
      <c r="J175" s="96"/>
      <c r="K175" s="96"/>
      <c r="L175" s="96"/>
      <c r="M175" s="96"/>
      <c r="N175" s="96"/>
      <c r="O175" s="96"/>
      <c r="P175" s="96"/>
      <c r="Q175" s="96"/>
      <c r="R175" s="97"/>
      <c r="S175" s="97"/>
      <c r="T175" s="96"/>
      <c r="U175" s="0" t="str">
        <f aca="true">IF(A175="","",IF(AND(R175&lt;&gt;"",R175&lt;=TODAY()+30,P175="Yes",Q175="Yes",N175&lt;&gt;"Do Not Contact"),1,0))</f>
        <v/>
      </c>
      <c r="V175" s="0" t="str">
        <f aca="false">IF(U175=1,COUNTIF($U$2:U175,1),"")</f>
        <v/>
      </c>
      <c r="W175" s="0" t="str">
        <f aca="false">IF(A175="","",A175&amp;" | "&amp;C175)</f>
        <v/>
      </c>
      <c r="X175" s="0" t="str">
        <f aca="true">IF(A175="","",IF(AND(R175&lt;&gt;"",P175="Yes",Q175="Yes",N175&lt;&gt;"Do Not Contact"),IF(INT(R175)=TODAY(),1,IF(INT(R175)=TODAY()+1,2,0)),0))</f>
        <v/>
      </c>
      <c r="Y175" s="0" t="str">
        <f aca="false">IF(OR(X175=1,X175=2),COUNTIF($X$2:X175,1)+COUNTIF($X$2:X175,2),"")</f>
        <v/>
      </c>
    </row>
    <row r="176" customFormat="false" ht="15" hidden="false" customHeight="false" outlineLevel="0" collapsed="false">
      <c r="A176" s="96"/>
      <c r="B176" s="97"/>
      <c r="C176" s="96"/>
      <c r="D176" s="96"/>
      <c r="E176" s="96"/>
      <c r="F176" s="96"/>
      <c r="G176" s="96"/>
      <c r="H176" s="96"/>
      <c r="I176" s="98"/>
      <c r="J176" s="96"/>
      <c r="K176" s="96"/>
      <c r="L176" s="96"/>
      <c r="M176" s="96"/>
      <c r="N176" s="96"/>
      <c r="O176" s="96"/>
      <c r="P176" s="96"/>
      <c r="Q176" s="96"/>
      <c r="R176" s="97"/>
      <c r="S176" s="97"/>
      <c r="T176" s="96"/>
      <c r="U176" s="0" t="str">
        <f aca="true">IF(A176="","",IF(AND(R176&lt;&gt;"",R176&lt;=TODAY()+30,P176="Yes",Q176="Yes",N176&lt;&gt;"Do Not Contact"),1,0))</f>
        <v/>
      </c>
      <c r="V176" s="0" t="str">
        <f aca="false">IF(U176=1,COUNTIF($U$2:U176,1),"")</f>
        <v/>
      </c>
      <c r="W176" s="0" t="str">
        <f aca="false">IF(A176="","",A176&amp;" | "&amp;C176)</f>
        <v/>
      </c>
      <c r="X176" s="0" t="str">
        <f aca="true">IF(A176="","",IF(AND(R176&lt;&gt;"",P176="Yes",Q176="Yes",N176&lt;&gt;"Do Not Contact"),IF(INT(R176)=TODAY(),1,IF(INT(R176)=TODAY()+1,2,0)),0))</f>
        <v/>
      </c>
      <c r="Y176" s="0" t="str">
        <f aca="false">IF(OR(X176=1,X176=2),COUNTIF($X$2:X176,1)+COUNTIF($X$2:X176,2),"")</f>
        <v/>
      </c>
    </row>
    <row r="177" customFormat="false" ht="15" hidden="false" customHeight="false" outlineLevel="0" collapsed="false">
      <c r="A177" s="96"/>
      <c r="B177" s="97"/>
      <c r="C177" s="96"/>
      <c r="D177" s="96"/>
      <c r="E177" s="96"/>
      <c r="F177" s="96"/>
      <c r="G177" s="96"/>
      <c r="H177" s="96"/>
      <c r="I177" s="98"/>
      <c r="J177" s="96"/>
      <c r="K177" s="96"/>
      <c r="L177" s="96"/>
      <c r="M177" s="96"/>
      <c r="N177" s="96"/>
      <c r="O177" s="96"/>
      <c r="P177" s="96"/>
      <c r="Q177" s="96"/>
      <c r="R177" s="97"/>
      <c r="S177" s="97"/>
      <c r="T177" s="96"/>
      <c r="U177" s="0" t="str">
        <f aca="true">IF(A177="","",IF(AND(R177&lt;&gt;"",R177&lt;=TODAY()+30,P177="Yes",Q177="Yes",N177&lt;&gt;"Do Not Contact"),1,0))</f>
        <v/>
      </c>
      <c r="V177" s="0" t="str">
        <f aca="false">IF(U177=1,COUNTIF($U$2:U177,1),"")</f>
        <v/>
      </c>
      <c r="W177" s="0" t="str">
        <f aca="false">IF(A177="","",A177&amp;" | "&amp;C177)</f>
        <v/>
      </c>
      <c r="X177" s="0" t="str">
        <f aca="true">IF(A177="","",IF(AND(R177&lt;&gt;"",P177="Yes",Q177="Yes",N177&lt;&gt;"Do Not Contact"),IF(INT(R177)=TODAY(),1,IF(INT(R177)=TODAY()+1,2,0)),0))</f>
        <v/>
      </c>
      <c r="Y177" s="0" t="str">
        <f aca="false">IF(OR(X177=1,X177=2),COUNTIF($X$2:X177,1)+COUNTIF($X$2:X177,2),"")</f>
        <v/>
      </c>
    </row>
    <row r="178" customFormat="false" ht="15" hidden="false" customHeight="false" outlineLevel="0" collapsed="false">
      <c r="A178" s="96"/>
      <c r="B178" s="97"/>
      <c r="C178" s="96"/>
      <c r="D178" s="96"/>
      <c r="E178" s="96"/>
      <c r="F178" s="96"/>
      <c r="G178" s="96"/>
      <c r="H178" s="96"/>
      <c r="I178" s="98"/>
      <c r="J178" s="96"/>
      <c r="K178" s="96"/>
      <c r="L178" s="96"/>
      <c r="M178" s="96"/>
      <c r="N178" s="96"/>
      <c r="O178" s="96"/>
      <c r="P178" s="96"/>
      <c r="Q178" s="96"/>
      <c r="R178" s="97"/>
      <c r="S178" s="97"/>
      <c r="T178" s="96"/>
      <c r="U178" s="0" t="str">
        <f aca="true">IF(A178="","",IF(AND(R178&lt;&gt;"",R178&lt;=TODAY()+30,P178="Yes",Q178="Yes",N178&lt;&gt;"Do Not Contact"),1,0))</f>
        <v/>
      </c>
      <c r="V178" s="0" t="str">
        <f aca="false">IF(U178=1,COUNTIF($U$2:U178,1),"")</f>
        <v/>
      </c>
      <c r="W178" s="0" t="str">
        <f aca="false">IF(A178="","",A178&amp;" | "&amp;C178)</f>
        <v/>
      </c>
      <c r="X178" s="0" t="str">
        <f aca="true">IF(A178="","",IF(AND(R178&lt;&gt;"",P178="Yes",Q178="Yes",N178&lt;&gt;"Do Not Contact"),IF(INT(R178)=TODAY(),1,IF(INT(R178)=TODAY()+1,2,0)),0))</f>
        <v/>
      </c>
      <c r="Y178" s="0" t="str">
        <f aca="false">IF(OR(X178=1,X178=2),COUNTIF($X$2:X178,1)+COUNTIF($X$2:X178,2),"")</f>
        <v/>
      </c>
    </row>
    <row r="179" customFormat="false" ht="15" hidden="false" customHeight="false" outlineLevel="0" collapsed="false">
      <c r="A179" s="96"/>
      <c r="B179" s="97"/>
      <c r="C179" s="96"/>
      <c r="D179" s="96"/>
      <c r="E179" s="96"/>
      <c r="F179" s="96"/>
      <c r="G179" s="96"/>
      <c r="H179" s="96"/>
      <c r="I179" s="98"/>
      <c r="J179" s="96"/>
      <c r="K179" s="96"/>
      <c r="L179" s="96"/>
      <c r="M179" s="96"/>
      <c r="N179" s="96"/>
      <c r="O179" s="96"/>
      <c r="P179" s="96"/>
      <c r="Q179" s="96"/>
      <c r="R179" s="97"/>
      <c r="S179" s="97"/>
      <c r="T179" s="96"/>
      <c r="U179" s="0" t="str">
        <f aca="true">IF(A179="","",IF(AND(R179&lt;&gt;"",R179&lt;=TODAY()+30,P179="Yes",Q179="Yes",N179&lt;&gt;"Do Not Contact"),1,0))</f>
        <v/>
      </c>
      <c r="V179" s="0" t="str">
        <f aca="false">IF(U179=1,COUNTIF($U$2:U179,1),"")</f>
        <v/>
      </c>
      <c r="W179" s="0" t="str">
        <f aca="false">IF(A179="","",A179&amp;" | "&amp;C179)</f>
        <v/>
      </c>
      <c r="X179" s="0" t="str">
        <f aca="true">IF(A179="","",IF(AND(R179&lt;&gt;"",P179="Yes",Q179="Yes",N179&lt;&gt;"Do Not Contact"),IF(INT(R179)=TODAY(),1,IF(INT(R179)=TODAY()+1,2,0)),0))</f>
        <v/>
      </c>
      <c r="Y179" s="0" t="str">
        <f aca="false">IF(OR(X179=1,X179=2),COUNTIF($X$2:X179,1)+COUNTIF($X$2:X179,2),"")</f>
        <v/>
      </c>
    </row>
    <row r="180" customFormat="false" ht="15" hidden="false" customHeight="false" outlineLevel="0" collapsed="false">
      <c r="A180" s="96"/>
      <c r="B180" s="97"/>
      <c r="C180" s="96"/>
      <c r="D180" s="96"/>
      <c r="E180" s="96"/>
      <c r="F180" s="96"/>
      <c r="G180" s="96"/>
      <c r="H180" s="96"/>
      <c r="I180" s="98"/>
      <c r="J180" s="96"/>
      <c r="K180" s="96"/>
      <c r="L180" s="96"/>
      <c r="M180" s="96"/>
      <c r="N180" s="96"/>
      <c r="O180" s="96"/>
      <c r="P180" s="96"/>
      <c r="Q180" s="96"/>
      <c r="R180" s="97"/>
      <c r="S180" s="97"/>
      <c r="T180" s="96"/>
      <c r="U180" s="0" t="str">
        <f aca="true">IF(A180="","",IF(AND(R180&lt;&gt;"",R180&lt;=TODAY()+30,P180="Yes",Q180="Yes",N180&lt;&gt;"Do Not Contact"),1,0))</f>
        <v/>
      </c>
      <c r="V180" s="0" t="str">
        <f aca="false">IF(U180=1,COUNTIF($U$2:U180,1),"")</f>
        <v/>
      </c>
      <c r="W180" s="0" t="str">
        <f aca="false">IF(A180="","",A180&amp;" | "&amp;C180)</f>
        <v/>
      </c>
      <c r="X180" s="0" t="str">
        <f aca="true">IF(A180="","",IF(AND(R180&lt;&gt;"",P180="Yes",Q180="Yes",N180&lt;&gt;"Do Not Contact"),IF(INT(R180)=TODAY(),1,IF(INT(R180)=TODAY()+1,2,0)),0))</f>
        <v/>
      </c>
      <c r="Y180" s="0" t="str">
        <f aca="false">IF(OR(X180=1,X180=2),COUNTIF($X$2:X180,1)+COUNTIF($X$2:X180,2),"")</f>
        <v/>
      </c>
    </row>
    <row r="181" customFormat="false" ht="15" hidden="false" customHeight="false" outlineLevel="0" collapsed="false">
      <c r="A181" s="96"/>
      <c r="B181" s="97"/>
      <c r="C181" s="96"/>
      <c r="D181" s="96"/>
      <c r="E181" s="96"/>
      <c r="F181" s="96"/>
      <c r="G181" s="96"/>
      <c r="H181" s="96"/>
      <c r="I181" s="98"/>
      <c r="J181" s="96"/>
      <c r="K181" s="96"/>
      <c r="L181" s="96"/>
      <c r="M181" s="96"/>
      <c r="N181" s="96"/>
      <c r="O181" s="96"/>
      <c r="P181" s="96"/>
      <c r="Q181" s="96"/>
      <c r="R181" s="97"/>
      <c r="S181" s="97"/>
      <c r="T181" s="96"/>
      <c r="U181" s="0" t="str">
        <f aca="true">IF(A181="","",IF(AND(R181&lt;&gt;"",R181&lt;=TODAY()+30,P181="Yes",Q181="Yes",N181&lt;&gt;"Do Not Contact"),1,0))</f>
        <v/>
      </c>
      <c r="V181" s="0" t="str">
        <f aca="false">IF(U181=1,COUNTIF($U$2:U181,1),"")</f>
        <v/>
      </c>
      <c r="W181" s="0" t="str">
        <f aca="false">IF(A181="","",A181&amp;" | "&amp;C181)</f>
        <v/>
      </c>
      <c r="X181" s="0" t="str">
        <f aca="true">IF(A181="","",IF(AND(R181&lt;&gt;"",P181="Yes",Q181="Yes",N181&lt;&gt;"Do Not Contact"),IF(INT(R181)=TODAY(),1,IF(INT(R181)=TODAY()+1,2,0)),0))</f>
        <v/>
      </c>
      <c r="Y181" s="0" t="str">
        <f aca="false">IF(OR(X181=1,X181=2),COUNTIF($X$2:X181,1)+COUNTIF($X$2:X181,2),"")</f>
        <v/>
      </c>
    </row>
    <row r="182" customFormat="false" ht="15" hidden="false" customHeight="false" outlineLevel="0" collapsed="false">
      <c r="A182" s="96"/>
      <c r="B182" s="97"/>
      <c r="C182" s="96"/>
      <c r="D182" s="96"/>
      <c r="E182" s="96"/>
      <c r="F182" s="96"/>
      <c r="G182" s="96"/>
      <c r="H182" s="96"/>
      <c r="I182" s="98"/>
      <c r="J182" s="96"/>
      <c r="K182" s="96"/>
      <c r="L182" s="96"/>
      <c r="M182" s="96"/>
      <c r="N182" s="96"/>
      <c r="O182" s="96"/>
      <c r="P182" s="96"/>
      <c r="Q182" s="96"/>
      <c r="R182" s="97"/>
      <c r="S182" s="97"/>
      <c r="T182" s="96"/>
      <c r="U182" s="0" t="str">
        <f aca="true">IF(A182="","",IF(AND(R182&lt;&gt;"",R182&lt;=TODAY()+30,P182="Yes",Q182="Yes",N182&lt;&gt;"Do Not Contact"),1,0))</f>
        <v/>
      </c>
      <c r="V182" s="0" t="str">
        <f aca="false">IF(U182=1,COUNTIF($U$2:U182,1),"")</f>
        <v/>
      </c>
      <c r="W182" s="0" t="str">
        <f aca="false">IF(A182="","",A182&amp;" | "&amp;C182)</f>
        <v/>
      </c>
      <c r="X182" s="0" t="str">
        <f aca="true">IF(A182="","",IF(AND(R182&lt;&gt;"",P182="Yes",Q182="Yes",N182&lt;&gt;"Do Not Contact"),IF(INT(R182)=TODAY(),1,IF(INT(R182)=TODAY()+1,2,0)),0))</f>
        <v/>
      </c>
      <c r="Y182" s="0" t="str">
        <f aca="false">IF(OR(X182=1,X182=2),COUNTIF($X$2:X182,1)+COUNTIF($X$2:X182,2),"")</f>
        <v/>
      </c>
    </row>
    <row r="183" customFormat="false" ht="15" hidden="false" customHeight="false" outlineLevel="0" collapsed="false">
      <c r="A183" s="96"/>
      <c r="B183" s="97"/>
      <c r="C183" s="96"/>
      <c r="D183" s="96"/>
      <c r="E183" s="96"/>
      <c r="F183" s="96"/>
      <c r="G183" s="96"/>
      <c r="H183" s="96"/>
      <c r="I183" s="98"/>
      <c r="J183" s="96"/>
      <c r="K183" s="96"/>
      <c r="L183" s="96"/>
      <c r="M183" s="96"/>
      <c r="N183" s="96"/>
      <c r="O183" s="96"/>
      <c r="P183" s="96"/>
      <c r="Q183" s="96"/>
      <c r="R183" s="97"/>
      <c r="S183" s="97"/>
      <c r="T183" s="96"/>
      <c r="U183" s="0" t="str">
        <f aca="true">IF(A183="","",IF(AND(R183&lt;&gt;"",R183&lt;=TODAY()+30,P183="Yes",Q183="Yes",N183&lt;&gt;"Do Not Contact"),1,0))</f>
        <v/>
      </c>
      <c r="V183" s="0" t="str">
        <f aca="false">IF(U183=1,COUNTIF($U$2:U183,1),"")</f>
        <v/>
      </c>
      <c r="W183" s="0" t="str">
        <f aca="false">IF(A183="","",A183&amp;" | "&amp;C183)</f>
        <v/>
      </c>
      <c r="X183" s="0" t="str">
        <f aca="true">IF(A183="","",IF(AND(R183&lt;&gt;"",P183="Yes",Q183="Yes",N183&lt;&gt;"Do Not Contact"),IF(INT(R183)=TODAY(),1,IF(INT(R183)=TODAY()+1,2,0)),0))</f>
        <v/>
      </c>
      <c r="Y183" s="0" t="str">
        <f aca="false">IF(OR(X183=1,X183=2),COUNTIF($X$2:X183,1)+COUNTIF($X$2:X183,2),"")</f>
        <v/>
      </c>
    </row>
    <row r="184" customFormat="false" ht="15" hidden="false" customHeight="false" outlineLevel="0" collapsed="false">
      <c r="A184" s="96"/>
      <c r="B184" s="97"/>
      <c r="C184" s="96"/>
      <c r="D184" s="96"/>
      <c r="E184" s="96"/>
      <c r="F184" s="96"/>
      <c r="G184" s="96"/>
      <c r="H184" s="96"/>
      <c r="I184" s="98"/>
      <c r="J184" s="96"/>
      <c r="K184" s="96"/>
      <c r="L184" s="96"/>
      <c r="M184" s="96"/>
      <c r="N184" s="96"/>
      <c r="O184" s="96"/>
      <c r="P184" s="96"/>
      <c r="Q184" s="96"/>
      <c r="R184" s="97"/>
      <c r="S184" s="97"/>
      <c r="T184" s="96"/>
      <c r="U184" s="0" t="str">
        <f aca="true">IF(A184="","",IF(AND(R184&lt;&gt;"",R184&lt;=TODAY()+30,P184="Yes",Q184="Yes",N184&lt;&gt;"Do Not Contact"),1,0))</f>
        <v/>
      </c>
      <c r="V184" s="0" t="str">
        <f aca="false">IF(U184=1,COUNTIF($U$2:U184,1),"")</f>
        <v/>
      </c>
      <c r="W184" s="0" t="str">
        <f aca="false">IF(A184="","",A184&amp;" | "&amp;C184)</f>
        <v/>
      </c>
      <c r="X184" s="0" t="str">
        <f aca="true">IF(A184="","",IF(AND(R184&lt;&gt;"",P184="Yes",Q184="Yes",N184&lt;&gt;"Do Not Contact"),IF(INT(R184)=TODAY(),1,IF(INT(R184)=TODAY()+1,2,0)),0))</f>
        <v/>
      </c>
      <c r="Y184" s="0" t="str">
        <f aca="false">IF(OR(X184=1,X184=2),COUNTIF($X$2:X184,1)+COUNTIF($X$2:X184,2),"")</f>
        <v/>
      </c>
    </row>
    <row r="185" customFormat="false" ht="15" hidden="false" customHeight="false" outlineLevel="0" collapsed="false">
      <c r="A185" s="96"/>
      <c r="B185" s="97"/>
      <c r="C185" s="96"/>
      <c r="D185" s="96"/>
      <c r="E185" s="96"/>
      <c r="F185" s="96"/>
      <c r="G185" s="96"/>
      <c r="H185" s="96"/>
      <c r="I185" s="98"/>
      <c r="J185" s="96"/>
      <c r="K185" s="96"/>
      <c r="L185" s="96"/>
      <c r="M185" s="96"/>
      <c r="N185" s="96"/>
      <c r="O185" s="96"/>
      <c r="P185" s="96"/>
      <c r="Q185" s="96"/>
      <c r="R185" s="97"/>
      <c r="S185" s="97"/>
      <c r="T185" s="96"/>
      <c r="U185" s="0" t="str">
        <f aca="true">IF(A185="","",IF(AND(R185&lt;&gt;"",R185&lt;=TODAY()+30,P185="Yes",Q185="Yes",N185&lt;&gt;"Do Not Contact"),1,0))</f>
        <v/>
      </c>
      <c r="V185" s="0" t="str">
        <f aca="false">IF(U185=1,COUNTIF($U$2:U185,1),"")</f>
        <v/>
      </c>
      <c r="W185" s="0" t="str">
        <f aca="false">IF(A185="","",A185&amp;" | "&amp;C185)</f>
        <v/>
      </c>
      <c r="X185" s="0" t="str">
        <f aca="true">IF(A185="","",IF(AND(R185&lt;&gt;"",P185="Yes",Q185="Yes",N185&lt;&gt;"Do Not Contact"),IF(INT(R185)=TODAY(),1,IF(INT(R185)=TODAY()+1,2,0)),0))</f>
        <v/>
      </c>
      <c r="Y185" s="0" t="str">
        <f aca="false">IF(OR(X185=1,X185=2),COUNTIF($X$2:X185,1)+COUNTIF($X$2:X185,2),"")</f>
        <v/>
      </c>
    </row>
    <row r="186" customFormat="false" ht="15" hidden="false" customHeight="false" outlineLevel="0" collapsed="false">
      <c r="A186" s="96"/>
      <c r="B186" s="97"/>
      <c r="C186" s="96"/>
      <c r="D186" s="96"/>
      <c r="E186" s="96"/>
      <c r="F186" s="96"/>
      <c r="G186" s="96"/>
      <c r="H186" s="96"/>
      <c r="I186" s="98"/>
      <c r="J186" s="96"/>
      <c r="K186" s="96"/>
      <c r="L186" s="96"/>
      <c r="M186" s="96"/>
      <c r="N186" s="96"/>
      <c r="O186" s="96"/>
      <c r="P186" s="96"/>
      <c r="Q186" s="96"/>
      <c r="R186" s="97"/>
      <c r="S186" s="97"/>
      <c r="T186" s="96"/>
      <c r="U186" s="0" t="str">
        <f aca="true">IF(A186="","",IF(AND(R186&lt;&gt;"",R186&lt;=TODAY()+30,P186="Yes",Q186="Yes",N186&lt;&gt;"Do Not Contact"),1,0))</f>
        <v/>
      </c>
      <c r="V186" s="0" t="str">
        <f aca="false">IF(U186=1,COUNTIF($U$2:U186,1),"")</f>
        <v/>
      </c>
      <c r="W186" s="0" t="str">
        <f aca="false">IF(A186="","",A186&amp;" | "&amp;C186)</f>
        <v/>
      </c>
      <c r="X186" s="0" t="str">
        <f aca="true">IF(A186="","",IF(AND(R186&lt;&gt;"",P186="Yes",Q186="Yes",N186&lt;&gt;"Do Not Contact"),IF(INT(R186)=TODAY(),1,IF(INT(R186)=TODAY()+1,2,0)),0))</f>
        <v/>
      </c>
      <c r="Y186" s="0" t="str">
        <f aca="false">IF(OR(X186=1,X186=2),COUNTIF($X$2:X186,1)+COUNTIF($X$2:X186,2),"")</f>
        <v/>
      </c>
    </row>
    <row r="187" customFormat="false" ht="15" hidden="false" customHeight="false" outlineLevel="0" collapsed="false">
      <c r="A187" s="96"/>
      <c r="B187" s="97"/>
      <c r="C187" s="96"/>
      <c r="D187" s="96"/>
      <c r="E187" s="96"/>
      <c r="F187" s="96"/>
      <c r="G187" s="96"/>
      <c r="H187" s="96"/>
      <c r="I187" s="98"/>
      <c r="J187" s="96"/>
      <c r="K187" s="96"/>
      <c r="L187" s="96"/>
      <c r="M187" s="96"/>
      <c r="N187" s="96"/>
      <c r="O187" s="96"/>
      <c r="P187" s="96"/>
      <c r="Q187" s="96"/>
      <c r="R187" s="97"/>
      <c r="S187" s="97"/>
      <c r="T187" s="96"/>
      <c r="U187" s="0" t="str">
        <f aca="true">IF(A187="","",IF(AND(R187&lt;&gt;"",R187&lt;=TODAY()+30,P187="Yes",Q187="Yes",N187&lt;&gt;"Do Not Contact"),1,0))</f>
        <v/>
      </c>
      <c r="V187" s="0" t="str">
        <f aca="false">IF(U187=1,COUNTIF($U$2:U187,1),"")</f>
        <v/>
      </c>
      <c r="W187" s="0" t="str">
        <f aca="false">IF(A187="","",A187&amp;" | "&amp;C187)</f>
        <v/>
      </c>
      <c r="X187" s="0" t="str">
        <f aca="true">IF(A187="","",IF(AND(R187&lt;&gt;"",P187="Yes",Q187="Yes",N187&lt;&gt;"Do Not Contact"),IF(INT(R187)=TODAY(),1,IF(INT(R187)=TODAY()+1,2,0)),0))</f>
        <v/>
      </c>
      <c r="Y187" s="0" t="str">
        <f aca="false">IF(OR(X187=1,X187=2),COUNTIF($X$2:X187,1)+COUNTIF($X$2:X187,2),"")</f>
        <v/>
      </c>
    </row>
    <row r="188" customFormat="false" ht="15" hidden="false" customHeight="false" outlineLevel="0" collapsed="false">
      <c r="A188" s="96"/>
      <c r="B188" s="97"/>
      <c r="C188" s="96"/>
      <c r="D188" s="96"/>
      <c r="E188" s="96"/>
      <c r="F188" s="96"/>
      <c r="G188" s="96"/>
      <c r="H188" s="96"/>
      <c r="I188" s="98"/>
      <c r="J188" s="96"/>
      <c r="K188" s="96"/>
      <c r="L188" s="96"/>
      <c r="M188" s="96"/>
      <c r="N188" s="96"/>
      <c r="O188" s="96"/>
      <c r="P188" s="96"/>
      <c r="Q188" s="96"/>
      <c r="R188" s="97"/>
      <c r="S188" s="97"/>
      <c r="T188" s="96"/>
      <c r="U188" s="0" t="str">
        <f aca="true">IF(A188="","",IF(AND(R188&lt;&gt;"",R188&lt;=TODAY()+30,P188="Yes",Q188="Yes",N188&lt;&gt;"Do Not Contact"),1,0))</f>
        <v/>
      </c>
      <c r="V188" s="0" t="str">
        <f aca="false">IF(U188=1,COUNTIF($U$2:U188,1),"")</f>
        <v/>
      </c>
      <c r="W188" s="0" t="str">
        <f aca="false">IF(A188="","",A188&amp;" | "&amp;C188)</f>
        <v/>
      </c>
      <c r="X188" s="0" t="str">
        <f aca="true">IF(A188="","",IF(AND(R188&lt;&gt;"",P188="Yes",Q188="Yes",N188&lt;&gt;"Do Not Contact"),IF(INT(R188)=TODAY(),1,IF(INT(R188)=TODAY()+1,2,0)),0))</f>
        <v/>
      </c>
      <c r="Y188" s="0" t="str">
        <f aca="false">IF(OR(X188=1,X188=2),COUNTIF($X$2:X188,1)+COUNTIF($X$2:X188,2),"")</f>
        <v/>
      </c>
    </row>
    <row r="189" customFormat="false" ht="15" hidden="false" customHeight="false" outlineLevel="0" collapsed="false">
      <c r="A189" s="96"/>
      <c r="B189" s="97"/>
      <c r="C189" s="96"/>
      <c r="D189" s="96"/>
      <c r="E189" s="96"/>
      <c r="F189" s="96"/>
      <c r="G189" s="96"/>
      <c r="H189" s="96"/>
      <c r="I189" s="98"/>
      <c r="J189" s="96"/>
      <c r="K189" s="96"/>
      <c r="L189" s="96"/>
      <c r="M189" s="96"/>
      <c r="N189" s="96"/>
      <c r="O189" s="96"/>
      <c r="P189" s="96"/>
      <c r="Q189" s="96"/>
      <c r="R189" s="97"/>
      <c r="S189" s="97"/>
      <c r="T189" s="96"/>
      <c r="U189" s="0" t="str">
        <f aca="true">IF(A189="","",IF(AND(R189&lt;&gt;"",R189&lt;=TODAY()+30,P189="Yes",Q189="Yes",N189&lt;&gt;"Do Not Contact"),1,0))</f>
        <v/>
      </c>
      <c r="V189" s="0" t="str">
        <f aca="false">IF(U189=1,COUNTIF($U$2:U189,1),"")</f>
        <v/>
      </c>
      <c r="W189" s="0" t="str">
        <f aca="false">IF(A189="","",A189&amp;" | "&amp;C189)</f>
        <v/>
      </c>
      <c r="X189" s="0" t="str">
        <f aca="true">IF(A189="","",IF(AND(R189&lt;&gt;"",P189="Yes",Q189="Yes",N189&lt;&gt;"Do Not Contact"),IF(INT(R189)=TODAY(),1,IF(INT(R189)=TODAY()+1,2,0)),0))</f>
        <v/>
      </c>
      <c r="Y189" s="0" t="str">
        <f aca="false">IF(OR(X189=1,X189=2),COUNTIF($X$2:X189,1)+COUNTIF($X$2:X189,2),"")</f>
        <v/>
      </c>
    </row>
    <row r="190" customFormat="false" ht="15" hidden="false" customHeight="false" outlineLevel="0" collapsed="false">
      <c r="A190" s="96"/>
      <c r="B190" s="97"/>
      <c r="C190" s="96"/>
      <c r="D190" s="96"/>
      <c r="E190" s="96"/>
      <c r="F190" s="96"/>
      <c r="G190" s="96"/>
      <c r="H190" s="96"/>
      <c r="I190" s="98"/>
      <c r="J190" s="96"/>
      <c r="K190" s="96"/>
      <c r="L190" s="96"/>
      <c r="M190" s="96"/>
      <c r="N190" s="96"/>
      <c r="O190" s="96"/>
      <c r="P190" s="96"/>
      <c r="Q190" s="96"/>
      <c r="R190" s="97"/>
      <c r="S190" s="97"/>
      <c r="T190" s="96"/>
      <c r="U190" s="0" t="str">
        <f aca="true">IF(A190="","",IF(AND(R190&lt;&gt;"",R190&lt;=TODAY()+30,P190="Yes",Q190="Yes",N190&lt;&gt;"Do Not Contact"),1,0))</f>
        <v/>
      </c>
      <c r="V190" s="0" t="str">
        <f aca="false">IF(U190=1,COUNTIF($U$2:U190,1),"")</f>
        <v/>
      </c>
      <c r="W190" s="0" t="str">
        <f aca="false">IF(A190="","",A190&amp;" | "&amp;C190)</f>
        <v/>
      </c>
      <c r="X190" s="0" t="str">
        <f aca="true">IF(A190="","",IF(AND(R190&lt;&gt;"",P190="Yes",Q190="Yes",N190&lt;&gt;"Do Not Contact"),IF(INT(R190)=TODAY(),1,IF(INT(R190)=TODAY()+1,2,0)),0))</f>
        <v/>
      </c>
      <c r="Y190" s="0" t="str">
        <f aca="false">IF(OR(X190=1,X190=2),COUNTIF($X$2:X190,1)+COUNTIF($X$2:X190,2),"")</f>
        <v/>
      </c>
    </row>
    <row r="191" customFormat="false" ht="15" hidden="false" customHeight="false" outlineLevel="0" collapsed="false">
      <c r="A191" s="96"/>
      <c r="B191" s="97"/>
      <c r="C191" s="96"/>
      <c r="D191" s="96"/>
      <c r="E191" s="96"/>
      <c r="F191" s="96"/>
      <c r="G191" s="96"/>
      <c r="H191" s="96"/>
      <c r="I191" s="98"/>
      <c r="J191" s="96"/>
      <c r="K191" s="96"/>
      <c r="L191" s="96"/>
      <c r="M191" s="96"/>
      <c r="N191" s="96"/>
      <c r="O191" s="96"/>
      <c r="P191" s="96"/>
      <c r="Q191" s="96"/>
      <c r="R191" s="97"/>
      <c r="S191" s="97"/>
      <c r="T191" s="96"/>
      <c r="U191" s="0" t="str">
        <f aca="true">IF(A191="","",IF(AND(R191&lt;&gt;"",R191&lt;=TODAY()+30,P191="Yes",Q191="Yes",N191&lt;&gt;"Do Not Contact"),1,0))</f>
        <v/>
      </c>
      <c r="V191" s="0" t="str">
        <f aca="false">IF(U191=1,COUNTIF($U$2:U191,1),"")</f>
        <v/>
      </c>
      <c r="W191" s="0" t="str">
        <f aca="false">IF(A191="","",A191&amp;" | "&amp;C191)</f>
        <v/>
      </c>
      <c r="X191" s="0" t="str">
        <f aca="true">IF(A191="","",IF(AND(R191&lt;&gt;"",P191="Yes",Q191="Yes",N191&lt;&gt;"Do Not Contact"),IF(INT(R191)=TODAY(),1,IF(INT(R191)=TODAY()+1,2,0)),0))</f>
        <v/>
      </c>
      <c r="Y191" s="0" t="str">
        <f aca="false">IF(OR(X191=1,X191=2),COUNTIF($X$2:X191,1)+COUNTIF($X$2:X191,2),"")</f>
        <v/>
      </c>
    </row>
    <row r="192" customFormat="false" ht="15" hidden="false" customHeight="false" outlineLevel="0" collapsed="false">
      <c r="A192" s="96"/>
      <c r="B192" s="97"/>
      <c r="C192" s="96"/>
      <c r="D192" s="96"/>
      <c r="E192" s="96"/>
      <c r="F192" s="96"/>
      <c r="G192" s="96"/>
      <c r="H192" s="96"/>
      <c r="I192" s="98"/>
      <c r="J192" s="96"/>
      <c r="K192" s="96"/>
      <c r="L192" s="96"/>
      <c r="M192" s="96"/>
      <c r="N192" s="96"/>
      <c r="O192" s="96"/>
      <c r="P192" s="96"/>
      <c r="Q192" s="96"/>
      <c r="R192" s="97"/>
      <c r="S192" s="97"/>
      <c r="T192" s="96"/>
      <c r="U192" s="0" t="str">
        <f aca="true">IF(A192="","",IF(AND(R192&lt;&gt;"",R192&lt;=TODAY()+30,P192="Yes",Q192="Yes",N192&lt;&gt;"Do Not Contact"),1,0))</f>
        <v/>
      </c>
      <c r="V192" s="0" t="str">
        <f aca="false">IF(U192=1,COUNTIF($U$2:U192,1),"")</f>
        <v/>
      </c>
      <c r="W192" s="0" t="str">
        <f aca="false">IF(A192="","",A192&amp;" | "&amp;C192)</f>
        <v/>
      </c>
      <c r="X192" s="0" t="str">
        <f aca="true">IF(A192="","",IF(AND(R192&lt;&gt;"",P192="Yes",Q192="Yes",N192&lt;&gt;"Do Not Contact"),IF(INT(R192)=TODAY(),1,IF(INT(R192)=TODAY()+1,2,0)),0))</f>
        <v/>
      </c>
      <c r="Y192" s="0" t="str">
        <f aca="false">IF(OR(X192=1,X192=2),COUNTIF($X$2:X192,1)+COUNTIF($X$2:X192,2),"")</f>
        <v/>
      </c>
    </row>
    <row r="193" customFormat="false" ht="15" hidden="false" customHeight="false" outlineLevel="0" collapsed="false">
      <c r="A193" s="96"/>
      <c r="B193" s="97"/>
      <c r="C193" s="96"/>
      <c r="D193" s="96"/>
      <c r="E193" s="96"/>
      <c r="F193" s="96"/>
      <c r="G193" s="96"/>
      <c r="H193" s="96"/>
      <c r="I193" s="98"/>
      <c r="J193" s="96"/>
      <c r="K193" s="96"/>
      <c r="L193" s="96"/>
      <c r="M193" s="96"/>
      <c r="N193" s="96"/>
      <c r="O193" s="96"/>
      <c r="P193" s="96"/>
      <c r="Q193" s="96"/>
      <c r="R193" s="97"/>
      <c r="S193" s="97"/>
      <c r="T193" s="96"/>
      <c r="U193" s="0" t="str">
        <f aca="true">IF(A193="","",IF(AND(R193&lt;&gt;"",R193&lt;=TODAY()+30,P193="Yes",Q193="Yes",N193&lt;&gt;"Do Not Contact"),1,0))</f>
        <v/>
      </c>
      <c r="V193" s="0" t="str">
        <f aca="false">IF(U193=1,COUNTIF($U$2:U193,1),"")</f>
        <v/>
      </c>
      <c r="W193" s="0" t="str">
        <f aca="false">IF(A193="","",A193&amp;" | "&amp;C193)</f>
        <v/>
      </c>
      <c r="X193" s="0" t="str">
        <f aca="true">IF(A193="","",IF(AND(R193&lt;&gt;"",P193="Yes",Q193="Yes",N193&lt;&gt;"Do Not Contact"),IF(INT(R193)=TODAY(),1,IF(INT(R193)=TODAY()+1,2,0)),0))</f>
        <v/>
      </c>
      <c r="Y193" s="0" t="str">
        <f aca="false">IF(OR(X193=1,X193=2),COUNTIF($X$2:X193,1)+COUNTIF($X$2:X193,2),"")</f>
        <v/>
      </c>
    </row>
    <row r="194" customFormat="false" ht="15" hidden="false" customHeight="false" outlineLevel="0" collapsed="false">
      <c r="A194" s="96"/>
      <c r="B194" s="97"/>
      <c r="C194" s="96"/>
      <c r="D194" s="96"/>
      <c r="E194" s="96"/>
      <c r="F194" s="96"/>
      <c r="G194" s="96"/>
      <c r="H194" s="96"/>
      <c r="I194" s="98"/>
      <c r="J194" s="96"/>
      <c r="K194" s="96"/>
      <c r="L194" s="96"/>
      <c r="M194" s="96"/>
      <c r="N194" s="96"/>
      <c r="O194" s="96"/>
      <c r="P194" s="96"/>
      <c r="Q194" s="96"/>
      <c r="R194" s="97"/>
      <c r="S194" s="97"/>
      <c r="T194" s="96"/>
      <c r="U194" s="0" t="str">
        <f aca="true">IF(A194="","",IF(AND(R194&lt;&gt;"",R194&lt;=TODAY()+30,P194="Yes",Q194="Yes",N194&lt;&gt;"Do Not Contact"),1,0))</f>
        <v/>
      </c>
      <c r="V194" s="0" t="str">
        <f aca="false">IF(U194=1,COUNTIF($U$2:U194,1),"")</f>
        <v/>
      </c>
      <c r="W194" s="0" t="str">
        <f aca="false">IF(A194="","",A194&amp;" | "&amp;C194)</f>
        <v/>
      </c>
      <c r="X194" s="0" t="str">
        <f aca="true">IF(A194="","",IF(AND(R194&lt;&gt;"",P194="Yes",Q194="Yes",N194&lt;&gt;"Do Not Contact"),IF(INT(R194)=TODAY(),1,IF(INT(R194)=TODAY()+1,2,0)),0))</f>
        <v/>
      </c>
      <c r="Y194" s="0" t="str">
        <f aca="false">IF(OR(X194=1,X194=2),COUNTIF($X$2:X194,1)+COUNTIF($X$2:X194,2),"")</f>
        <v/>
      </c>
    </row>
    <row r="195" customFormat="false" ht="15" hidden="false" customHeight="false" outlineLevel="0" collapsed="false">
      <c r="A195" s="96"/>
      <c r="B195" s="97"/>
      <c r="C195" s="96"/>
      <c r="D195" s="96"/>
      <c r="E195" s="96"/>
      <c r="F195" s="96"/>
      <c r="G195" s="96"/>
      <c r="H195" s="96"/>
      <c r="I195" s="98"/>
      <c r="J195" s="96"/>
      <c r="K195" s="96"/>
      <c r="L195" s="96"/>
      <c r="M195" s="96"/>
      <c r="N195" s="96"/>
      <c r="O195" s="96"/>
      <c r="P195" s="96"/>
      <c r="Q195" s="96"/>
      <c r="R195" s="97"/>
      <c r="S195" s="97"/>
      <c r="T195" s="96"/>
      <c r="U195" s="0" t="str">
        <f aca="true">IF(A195="","",IF(AND(R195&lt;&gt;"",R195&lt;=TODAY()+30,P195="Yes",Q195="Yes",N195&lt;&gt;"Do Not Contact"),1,0))</f>
        <v/>
      </c>
      <c r="V195" s="0" t="str">
        <f aca="false">IF(U195=1,COUNTIF($U$2:U195,1),"")</f>
        <v/>
      </c>
      <c r="W195" s="0" t="str">
        <f aca="false">IF(A195="","",A195&amp;" | "&amp;C195)</f>
        <v/>
      </c>
      <c r="X195" s="0" t="str">
        <f aca="true">IF(A195="","",IF(AND(R195&lt;&gt;"",P195="Yes",Q195="Yes",N195&lt;&gt;"Do Not Contact"),IF(INT(R195)=TODAY(),1,IF(INT(R195)=TODAY()+1,2,0)),0))</f>
        <v/>
      </c>
      <c r="Y195" s="0" t="str">
        <f aca="false">IF(OR(X195=1,X195=2),COUNTIF($X$2:X195,1)+COUNTIF($X$2:X195,2),"")</f>
        <v/>
      </c>
    </row>
    <row r="196" customFormat="false" ht="15" hidden="false" customHeight="false" outlineLevel="0" collapsed="false">
      <c r="A196" s="96"/>
      <c r="B196" s="97"/>
      <c r="C196" s="96"/>
      <c r="D196" s="96"/>
      <c r="E196" s="96"/>
      <c r="F196" s="96"/>
      <c r="G196" s="96"/>
      <c r="H196" s="96"/>
      <c r="I196" s="98"/>
      <c r="J196" s="96"/>
      <c r="K196" s="96"/>
      <c r="L196" s="96"/>
      <c r="M196" s="96"/>
      <c r="N196" s="96"/>
      <c r="O196" s="96"/>
      <c r="P196" s="96"/>
      <c r="Q196" s="96"/>
      <c r="R196" s="97"/>
      <c r="S196" s="97"/>
      <c r="T196" s="96"/>
      <c r="U196" s="0" t="str">
        <f aca="true">IF(A196="","",IF(AND(R196&lt;&gt;"",R196&lt;=TODAY()+30,P196="Yes",Q196="Yes",N196&lt;&gt;"Do Not Contact"),1,0))</f>
        <v/>
      </c>
      <c r="V196" s="0" t="str">
        <f aca="false">IF(U196=1,COUNTIF($U$2:U196,1),"")</f>
        <v/>
      </c>
      <c r="W196" s="0" t="str">
        <f aca="false">IF(A196="","",A196&amp;" | "&amp;C196)</f>
        <v/>
      </c>
      <c r="X196" s="0" t="str">
        <f aca="true">IF(A196="","",IF(AND(R196&lt;&gt;"",P196="Yes",Q196="Yes",N196&lt;&gt;"Do Not Contact"),IF(INT(R196)=TODAY(),1,IF(INT(R196)=TODAY()+1,2,0)),0))</f>
        <v/>
      </c>
      <c r="Y196" s="0" t="str">
        <f aca="false">IF(OR(X196=1,X196=2),COUNTIF($X$2:X196,1)+COUNTIF($X$2:X196,2),"")</f>
        <v/>
      </c>
    </row>
    <row r="197" customFormat="false" ht="15" hidden="false" customHeight="false" outlineLevel="0" collapsed="false">
      <c r="A197" s="96"/>
      <c r="B197" s="97"/>
      <c r="C197" s="96"/>
      <c r="D197" s="96"/>
      <c r="E197" s="96"/>
      <c r="F197" s="96"/>
      <c r="G197" s="96"/>
      <c r="H197" s="96"/>
      <c r="I197" s="98"/>
      <c r="J197" s="96"/>
      <c r="K197" s="96"/>
      <c r="L197" s="96"/>
      <c r="M197" s="96"/>
      <c r="N197" s="96"/>
      <c r="O197" s="96"/>
      <c r="P197" s="96"/>
      <c r="Q197" s="96"/>
      <c r="R197" s="97"/>
      <c r="S197" s="97"/>
      <c r="T197" s="96"/>
      <c r="U197" s="0" t="str">
        <f aca="true">IF(A197="","",IF(AND(R197&lt;&gt;"",R197&lt;=TODAY()+30,P197="Yes",Q197="Yes",N197&lt;&gt;"Do Not Contact"),1,0))</f>
        <v/>
      </c>
      <c r="V197" s="0" t="str">
        <f aca="false">IF(U197=1,COUNTIF($U$2:U197,1),"")</f>
        <v/>
      </c>
      <c r="W197" s="0" t="str">
        <f aca="false">IF(A197="","",A197&amp;" | "&amp;C197)</f>
        <v/>
      </c>
      <c r="X197" s="0" t="str">
        <f aca="true">IF(A197="","",IF(AND(R197&lt;&gt;"",P197="Yes",Q197="Yes",N197&lt;&gt;"Do Not Contact"),IF(INT(R197)=TODAY(),1,IF(INT(R197)=TODAY()+1,2,0)),0))</f>
        <v/>
      </c>
      <c r="Y197" s="0" t="str">
        <f aca="false">IF(OR(X197=1,X197=2),COUNTIF($X$2:X197,1)+COUNTIF($X$2:X197,2),"")</f>
        <v/>
      </c>
    </row>
    <row r="198" customFormat="false" ht="15" hidden="false" customHeight="false" outlineLevel="0" collapsed="false">
      <c r="A198" s="96"/>
      <c r="B198" s="97"/>
      <c r="C198" s="96"/>
      <c r="D198" s="96"/>
      <c r="E198" s="96"/>
      <c r="F198" s="96"/>
      <c r="G198" s="96"/>
      <c r="H198" s="96"/>
      <c r="I198" s="98"/>
      <c r="J198" s="96"/>
      <c r="K198" s="96"/>
      <c r="L198" s="96"/>
      <c r="M198" s="96"/>
      <c r="N198" s="96"/>
      <c r="O198" s="96"/>
      <c r="P198" s="96"/>
      <c r="Q198" s="96"/>
      <c r="R198" s="97"/>
      <c r="S198" s="97"/>
      <c r="T198" s="96"/>
      <c r="U198" s="0" t="str">
        <f aca="true">IF(A198="","",IF(AND(R198&lt;&gt;"",R198&lt;=TODAY()+30,P198="Yes",Q198="Yes",N198&lt;&gt;"Do Not Contact"),1,0))</f>
        <v/>
      </c>
      <c r="V198" s="0" t="str">
        <f aca="false">IF(U198=1,COUNTIF($U$2:U198,1),"")</f>
        <v/>
      </c>
      <c r="W198" s="0" t="str">
        <f aca="false">IF(A198="","",A198&amp;" | "&amp;C198)</f>
        <v/>
      </c>
      <c r="X198" s="0" t="str">
        <f aca="true">IF(A198="","",IF(AND(R198&lt;&gt;"",P198="Yes",Q198="Yes",N198&lt;&gt;"Do Not Contact"),IF(INT(R198)=TODAY(),1,IF(INT(R198)=TODAY()+1,2,0)),0))</f>
        <v/>
      </c>
      <c r="Y198" s="0" t="str">
        <f aca="false">IF(OR(X198=1,X198=2),COUNTIF($X$2:X198,1)+COUNTIF($X$2:X198,2),"")</f>
        <v/>
      </c>
    </row>
    <row r="199" customFormat="false" ht="15" hidden="false" customHeight="false" outlineLevel="0" collapsed="false">
      <c r="A199" s="96"/>
      <c r="B199" s="97"/>
      <c r="C199" s="96"/>
      <c r="D199" s="96"/>
      <c r="E199" s="96"/>
      <c r="F199" s="96"/>
      <c r="G199" s="96"/>
      <c r="H199" s="96"/>
      <c r="I199" s="98"/>
      <c r="J199" s="96"/>
      <c r="K199" s="96"/>
      <c r="L199" s="96"/>
      <c r="M199" s="96"/>
      <c r="N199" s="96"/>
      <c r="O199" s="96"/>
      <c r="P199" s="96"/>
      <c r="Q199" s="96"/>
      <c r="R199" s="97"/>
      <c r="S199" s="97"/>
      <c r="T199" s="96"/>
      <c r="U199" s="0" t="str">
        <f aca="true">IF(A199="","",IF(AND(R199&lt;&gt;"",R199&lt;=TODAY()+30,P199="Yes",Q199="Yes",N199&lt;&gt;"Do Not Contact"),1,0))</f>
        <v/>
      </c>
      <c r="V199" s="0" t="str">
        <f aca="false">IF(U199=1,COUNTIF($U$2:U199,1),"")</f>
        <v/>
      </c>
      <c r="W199" s="0" t="str">
        <f aca="false">IF(A199="","",A199&amp;" | "&amp;C199)</f>
        <v/>
      </c>
      <c r="X199" s="0" t="str">
        <f aca="true">IF(A199="","",IF(AND(R199&lt;&gt;"",P199="Yes",Q199="Yes",N199&lt;&gt;"Do Not Contact"),IF(INT(R199)=TODAY(),1,IF(INT(R199)=TODAY()+1,2,0)),0))</f>
        <v/>
      </c>
      <c r="Y199" s="0" t="str">
        <f aca="false">IF(OR(X199=1,X199=2),COUNTIF($X$2:X199,1)+COUNTIF($X$2:X199,2),"")</f>
        <v/>
      </c>
    </row>
    <row r="200" customFormat="false" ht="15" hidden="false" customHeight="false" outlineLevel="0" collapsed="false">
      <c r="A200" s="96"/>
      <c r="B200" s="97"/>
      <c r="C200" s="96"/>
      <c r="D200" s="96"/>
      <c r="E200" s="96"/>
      <c r="F200" s="96"/>
      <c r="G200" s="96"/>
      <c r="H200" s="96"/>
      <c r="I200" s="98"/>
      <c r="J200" s="96"/>
      <c r="K200" s="96"/>
      <c r="L200" s="96"/>
      <c r="M200" s="96"/>
      <c r="N200" s="96"/>
      <c r="O200" s="96"/>
      <c r="P200" s="96"/>
      <c r="Q200" s="96"/>
      <c r="R200" s="97"/>
      <c r="S200" s="97"/>
      <c r="T200" s="96"/>
      <c r="U200" s="0" t="str">
        <f aca="true">IF(A200="","",IF(AND(R200&lt;&gt;"",R200&lt;=TODAY()+30,P200="Yes",Q200="Yes",N200&lt;&gt;"Do Not Contact"),1,0))</f>
        <v/>
      </c>
      <c r="V200" s="0" t="str">
        <f aca="false">IF(U200=1,COUNTIF($U$2:U200,1),"")</f>
        <v/>
      </c>
      <c r="W200" s="0" t="str">
        <f aca="false">IF(A200="","",A200&amp;" | "&amp;C200)</f>
        <v/>
      </c>
      <c r="X200" s="0" t="str">
        <f aca="true">IF(A200="","",IF(AND(R200&lt;&gt;"",P200="Yes",Q200="Yes",N200&lt;&gt;"Do Not Contact"),IF(INT(R200)=TODAY(),1,IF(INT(R200)=TODAY()+1,2,0)),0))</f>
        <v/>
      </c>
      <c r="Y200" s="0" t="str">
        <f aca="false">IF(OR(X200=1,X200=2),COUNTIF($X$2:X200,1)+COUNTIF($X$2:X200,2),"")</f>
        <v/>
      </c>
    </row>
    <row r="201" customFormat="false" ht="15" hidden="false" customHeight="false" outlineLevel="0" collapsed="false">
      <c r="A201" s="96"/>
      <c r="B201" s="97"/>
      <c r="C201" s="96"/>
      <c r="D201" s="96"/>
      <c r="E201" s="96"/>
      <c r="F201" s="96"/>
      <c r="G201" s="96"/>
      <c r="H201" s="96"/>
      <c r="I201" s="98"/>
      <c r="J201" s="96"/>
      <c r="K201" s="96"/>
      <c r="L201" s="96"/>
      <c r="M201" s="96"/>
      <c r="N201" s="96"/>
      <c r="O201" s="96"/>
      <c r="P201" s="96"/>
      <c r="Q201" s="96"/>
      <c r="R201" s="97"/>
      <c r="S201" s="97"/>
      <c r="T201" s="96"/>
      <c r="U201" s="0" t="str">
        <f aca="true">IF(A201="","",IF(AND(R201&lt;&gt;"",R201&lt;=TODAY()+30,P201="Yes",Q201="Yes",N201&lt;&gt;"Do Not Contact"),1,0))</f>
        <v/>
      </c>
      <c r="V201" s="0" t="str">
        <f aca="false">IF(U201=1,COUNTIF($U$2:U201,1),"")</f>
        <v/>
      </c>
      <c r="W201" s="0" t="str">
        <f aca="false">IF(A201="","",A201&amp;" | "&amp;C201)</f>
        <v/>
      </c>
      <c r="X201" s="0" t="str">
        <f aca="true">IF(A201="","",IF(AND(R201&lt;&gt;"",P201="Yes",Q201="Yes",N201&lt;&gt;"Do Not Contact"),IF(INT(R201)=TODAY(),1,IF(INT(R201)=TODAY()+1,2,0)),0))</f>
        <v/>
      </c>
      <c r="Y201" s="0" t="str">
        <f aca="false">IF(OR(X201=1,X201=2),COUNTIF($X$2:X201,1)+COUNTIF($X$2:X201,2),"")</f>
        <v/>
      </c>
    </row>
  </sheetData>
  <autoFilter ref="A1:T201"/>
  <conditionalFormatting sqref="M2:M201">
    <cfRule type="cellIs" priority="2" operator="equal" aboveAverage="0" equalAverage="0" bottom="0" percent="0" rank="0" text="" dxfId="21">
      <formula>"Hired"</formula>
    </cfRule>
    <cfRule type="cellIs" priority="3" operator="equal" aboveAverage="0" equalAverage="0" bottom="0" percent="0" rank="0" text="" dxfId="22">
      <formula>"Not Selected"</formula>
    </cfRule>
    <cfRule type="cellIs" priority="4" operator="equal" aboveAverage="0" equalAverage="0" bottom="0" percent="0" rank="0" text="" dxfId="23">
      <formula>"Withdrawn"</formula>
    </cfRule>
    <cfRule type="cellIs" priority="5" operator="equal" aboveAverage="0" equalAverage="0" bottom="0" percent="0" rank="0" text="" dxfId="24">
      <formula>"Interviewed"</formula>
    </cfRule>
  </conditionalFormatting>
  <conditionalFormatting sqref="N2:N201">
    <cfRule type="cellIs" priority="6" operator="equal" aboveAverage="0" equalAverage="0" bottom="0" percent="0" rank="0" text="" dxfId="25">
      <formula>"Strong Future Fit"</formula>
    </cfRule>
    <cfRule type="cellIs" priority="7" operator="equal" aboveAverage="0" equalAverage="0" bottom="0" percent="0" rank="0" text="" dxfId="26">
      <formula>"Potential Future Fit"</formula>
    </cfRule>
    <cfRule type="cellIs" priority="8" operator="equal" aboveAverage="0" equalAverage="0" bottom="0" percent="0" rank="0" text="" dxfId="27">
      <formula>"Do Not Contact"</formula>
    </cfRule>
  </conditionalFormatting>
  <conditionalFormatting sqref="A2:T201">
    <cfRule type="expression" priority="9" aboveAverage="0" equalAverage="0" bottom="0" percent="0" rank="0" text="" dxfId="28">
      <formula>AND($A2&lt;&gt;"",MOD(ROW(),2)=0)</formula>
    </cfRule>
  </conditionalFormatting>
  <dataValidations count="4">
    <dataValidation allowBlank="true" errorStyle="stop" operator="between" showDropDown="false" showErrorMessage="true" showInputMessage="false" sqref="M2:M201" type="list">
      <formula1>Lists!$B$2:$B$8</formula1>
      <formula2>0</formula2>
    </dataValidation>
    <dataValidation allowBlank="true" errorStyle="stop" operator="between" showDropDown="false" showErrorMessage="true" showInputMessage="false" sqref="N2:N201" type="list">
      <formula1>Lists!$C$2:$C$5</formula1>
      <formula2>0</formula2>
    </dataValidation>
    <dataValidation allowBlank="true" errorStyle="stop" operator="between" showDropDown="false" showErrorMessage="true" showInputMessage="false" sqref="P2:Q201" type="list">
      <formula1>Lists!$E$2:$E$3</formula1>
      <formula2>0</formula2>
    </dataValidation>
    <dataValidation allowBlank="true" errorStyle="stop" operator="between" showDropDown="false" showErrorMessage="true" showInputMessage="false" sqref="T2:T201" type="list">
      <formula1>Lists!$H$2:$H$6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28"/>
    <col collapsed="false" customWidth="true" hidden="false" outlineLevel="0" max="4" min="4" style="0" width="24"/>
    <col collapsed="false" customWidth="true" hidden="false" outlineLevel="0" max="5" min="5" style="0" width="22"/>
    <col collapsed="false" customWidth="true" hidden="false" outlineLevel="0" max="6" min="6" style="0" width="14"/>
    <col collapsed="false" customWidth="true" hidden="false" outlineLevel="0" max="7" min="7" style="0" width="20"/>
    <col collapsed="false" customWidth="true" hidden="false" outlineLevel="0" max="8" min="8" style="0" width="14"/>
    <col collapsed="false" customWidth="true" hidden="false" outlineLevel="0" max="9" min="9" style="0" width="18"/>
  </cols>
  <sheetData>
    <row r="1" customFormat="false" ht="42" hidden="false" customHeight="true" outlineLevel="0" collapsed="false">
      <c r="A1" s="85" t="s">
        <v>451</v>
      </c>
      <c r="B1" s="1"/>
      <c r="C1" s="1"/>
      <c r="D1" s="1"/>
      <c r="E1" s="1"/>
      <c r="F1" s="1"/>
      <c r="G1" s="1"/>
      <c r="H1" s="1"/>
      <c r="I1" s="1"/>
    </row>
    <row r="2" customFormat="false" ht="24" hidden="false" customHeight="true" outlineLevel="0" collapsed="false">
      <c r="A2" s="100" t="s">
        <v>452</v>
      </c>
      <c r="B2" s="1"/>
      <c r="C2" s="1"/>
      <c r="D2" s="1"/>
      <c r="E2" s="1"/>
      <c r="F2" s="1"/>
      <c r="G2" s="1"/>
      <c r="H2" s="1"/>
      <c r="I2" s="1"/>
    </row>
    <row r="3" customFormat="false" ht="4.5" hidden="false" customHeight="true" outlineLevel="0" collapsed="false">
      <c r="A3" s="101"/>
      <c r="B3" s="101"/>
      <c r="C3" s="101"/>
      <c r="D3" s="101"/>
      <c r="E3" s="101"/>
      <c r="F3" s="101"/>
      <c r="G3" s="101"/>
      <c r="H3" s="101"/>
      <c r="I3" s="101"/>
    </row>
    <row r="4" customFormat="false" ht="25.5" hidden="false" customHeight="true" outlineLevel="0" collapsed="false">
      <c r="A4" s="46" t="s">
        <v>453</v>
      </c>
      <c r="B4" s="72"/>
      <c r="C4" s="72"/>
      <c r="E4" s="102" t="s">
        <v>454</v>
      </c>
    </row>
    <row r="5" customFormat="false" ht="19.5" hidden="false" customHeight="true" outlineLevel="0" collapsed="false">
      <c r="A5" s="88" t="s">
        <v>455</v>
      </c>
      <c r="B5" s="103"/>
      <c r="C5" s="90" t="s">
        <v>456</v>
      </c>
      <c r="E5" s="104" t="s">
        <v>457</v>
      </c>
    </row>
    <row r="6" customFormat="false" ht="19.5" hidden="false" customHeight="true" outlineLevel="0" collapsed="false">
      <c r="A6" s="88" t="s">
        <v>458</v>
      </c>
      <c r="B6" s="91" t="str">
        <f aca="false">IFERROR(INDEX(Candidates!$C$2:$C$201,MATCH(LEFT(B5,FIND(" | ",B5&amp;" | ")-1),Candidates!$A$2:$A$201,0))&amp;"  -  last applied: "&amp;INDEX(Candidates!$E$2:$E$201,MATCH(LEFT(B5,FIND(" | ",B5&amp;" | ")-1),Candidates!$A$2:$A$201,0)),"")</f>
        <v/>
      </c>
      <c r="C6" s="90" t="s">
        <v>459</v>
      </c>
      <c r="E6" s="104" t="s">
        <v>460</v>
      </c>
    </row>
    <row r="7" customFormat="false" ht="19.5" hidden="false" customHeight="true" outlineLevel="0" collapsed="false">
      <c r="A7" s="88" t="s">
        <v>461</v>
      </c>
      <c r="B7" s="105"/>
      <c r="C7" s="90" t="s">
        <v>462</v>
      </c>
      <c r="E7" s="104" t="s">
        <v>463</v>
      </c>
    </row>
    <row r="8" customFormat="false" ht="19.5" hidden="false" customHeight="true" outlineLevel="0" collapsed="false">
      <c r="A8" s="88" t="s">
        <v>464</v>
      </c>
      <c r="B8" s="103"/>
      <c r="C8" s="90" t="s">
        <v>465</v>
      </c>
      <c r="E8" s="104" t="s">
        <v>466</v>
      </c>
    </row>
    <row r="9" customFormat="false" ht="19.5" hidden="false" customHeight="true" outlineLevel="0" collapsed="false">
      <c r="A9" s="88" t="s">
        <v>467</v>
      </c>
      <c r="B9" s="103"/>
      <c r="C9" s="90" t="s">
        <v>468</v>
      </c>
      <c r="E9" s="104" t="s">
        <v>469</v>
      </c>
    </row>
    <row r="10" customFormat="false" ht="19.5" hidden="false" customHeight="true" outlineLevel="0" collapsed="false">
      <c r="A10" s="88" t="s">
        <v>470</v>
      </c>
      <c r="B10" s="105"/>
      <c r="C10" s="90" t="s">
        <v>471</v>
      </c>
    </row>
    <row r="11" customFormat="false" ht="15" hidden="false" customHeight="false" outlineLevel="0" collapsed="false">
      <c r="A11" s="106" t="s">
        <v>472</v>
      </c>
    </row>
    <row r="13" customFormat="false" ht="25.5" hidden="false" customHeight="true" outlineLevel="0" collapsed="false">
      <c r="A13" s="48" t="s">
        <v>473</v>
      </c>
      <c r="B13" s="70"/>
      <c r="C13" s="70"/>
      <c r="D13" s="70"/>
      <c r="E13" s="70"/>
      <c r="F13" s="70"/>
      <c r="G13" s="70"/>
      <c r="H13" s="70"/>
      <c r="I13" s="70"/>
    </row>
    <row r="14" customFormat="false" ht="15" hidden="false" customHeight="false" outlineLevel="0" collapsed="false">
      <c r="A14" s="107" t="str">
        <f aca="false">"Total due: "&amp;COUNTIF(Candidates!$U$2:$U$201,1)</f>
        <v>Total due: 13</v>
      </c>
    </row>
    <row r="15" customFormat="false" ht="15" hidden="false" customHeight="false" outlineLevel="0" collapsed="false">
      <c r="A15" s="83" t="s">
        <v>238</v>
      </c>
      <c r="B15" s="83" t="s">
        <v>199</v>
      </c>
      <c r="C15" s="83" t="s">
        <v>201</v>
      </c>
      <c r="D15" s="83" t="s">
        <v>474</v>
      </c>
      <c r="E15" s="83" t="s">
        <v>174</v>
      </c>
      <c r="F15" s="83" t="s">
        <v>475</v>
      </c>
      <c r="G15" s="83" t="s">
        <v>63</v>
      </c>
      <c r="H15" s="83" t="s">
        <v>476</v>
      </c>
      <c r="I15" s="83" t="s">
        <v>477</v>
      </c>
    </row>
    <row r="16" customFormat="false" ht="15" hidden="false" customHeight="false" outlineLevel="0" collapsed="false">
      <c r="A16" s="96" t="str">
        <f aca="false">IFERROR(INDEX(Candidates!$A$2:$A$201,MATCH(1,Candidates!$V$2:$V$201,0))&amp;"","")</f>
        <v>CAN-2026-00007</v>
      </c>
      <c r="B16" s="96" t="str">
        <f aca="false">IFERROR(INDEX(Candidates!$C$2:$C$201,MATCH(1,Candidates!$V$2:$V$201,0))&amp;"","")</f>
        <v>Nicole Brown</v>
      </c>
      <c r="C16" s="96" t="str">
        <f aca="false">IFERROR(INDEX(Candidates!$D$2:$D$201,MATCH(1,Candidates!$V$2:$V$201,0))&amp;"","")</f>
        <v>nicole.brown@example.com</v>
      </c>
      <c r="D16" s="96" t="str">
        <f aca="false">IFERROR(INDEX(Candidates!$E$2:$E$201,MATCH(1,Candidates!$V$2:$V$201,0))&amp;"","")</f>
        <v>Marketing Manager</v>
      </c>
      <c r="E16" s="96" t="str">
        <f aca="false">IFERROR(INDEX(Candidates!$N$2:$N$201,MATCH(1,Candidates!$V$2:$V$201,0))&amp;"","")</f>
        <v>Strong Future Fit</v>
      </c>
      <c r="F16" s="97" t="n">
        <f aca="false">IFERROR(IF(INDEX(Candidates!$R$2:$R$201,MATCH(1,Candidates!$V$2:$V$201,0))="","",INDEX(Candidates!$R$2:$R$201,MATCH(1,Candidates!$V$2:$V$201,0))),"")</f>
        <v>46311</v>
      </c>
      <c r="G16" s="96" t="str">
        <f aca="true">IF(F16="","",IF(F16&lt;TODAY(),"Overdue by "&amp;(TODAY()-F16)&amp;" days",IF(F16=TODAY(),"Due today","Due in "&amp;(F16-TODAY())&amp;" days")))</f>
        <v>Due in 11 days</v>
      </c>
      <c r="H16" s="97" t="n">
        <f aca="false">IFERROR(IF(INDEX(Candidates!$S$2:$S$201,MATCH(1,Candidates!$V$2:$V$201,0))="","",INDEX(Candidates!$S$2:$S$201,MATCH(1,Candidates!$V$2:$V$201,0))),"")</f>
        <v>46289</v>
      </c>
      <c r="I16" s="96" t="str">
        <f aca="false">IFERROR(INDEX(Candidates!$T$2:$T$201,MATCH(1,Candidates!$V$2:$V$201,0))&amp;"","")</f>
        <v>Interested</v>
      </c>
    </row>
    <row r="17" customFormat="false" ht="15" hidden="false" customHeight="false" outlineLevel="0" collapsed="false">
      <c r="A17" s="96" t="str">
        <f aca="false">IFERROR(INDEX(Candidates!$A$2:$A$201,MATCH(2,Candidates!$V$2:$V$201,0))&amp;"","")</f>
        <v>CAN-2026-00008</v>
      </c>
      <c r="B17" s="96" t="str">
        <f aca="false">IFERROR(INDEX(Candidates!$C$2:$C$201,MATCH(2,Candidates!$V$2:$V$201,0))&amp;"","")</f>
        <v>Jessica Miller</v>
      </c>
      <c r="C17" s="96" t="str">
        <f aca="false">IFERROR(INDEX(Candidates!$D$2:$D$201,MATCH(2,Candidates!$V$2:$V$201,0))&amp;"","")</f>
        <v>jessica.miller@example.com</v>
      </c>
      <c r="D17" s="96" t="str">
        <f aca="false">IFERROR(INDEX(Candidates!$E$2:$E$201,MATCH(2,Candidates!$V$2:$V$201,0))&amp;"","")</f>
        <v>Quality Engineer</v>
      </c>
      <c r="E17" s="96" t="str">
        <f aca="false">IFERROR(INDEX(Candidates!$N$2:$N$201,MATCH(2,Candidates!$V$2:$V$201,0))&amp;"","")</f>
        <v>Potential Future Fit</v>
      </c>
      <c r="F17" s="97" t="n">
        <f aca="false">IFERROR(IF(INDEX(Candidates!$R$2:$R$201,MATCH(2,Candidates!$V$2:$V$201,0))="","",INDEX(Candidates!$R$2:$R$201,MATCH(2,Candidates!$V$2:$V$201,0))),"")</f>
        <v>46300</v>
      </c>
      <c r="G17" s="96" t="str">
        <f aca="true">IF(F17="","",IF(F17&lt;TODAY(),"Overdue by "&amp;(TODAY()-F17)&amp;" days",IF(F17=TODAY(),"Due today","Due in "&amp;(F17-TODAY())&amp;" days")))</f>
        <v>Due today</v>
      </c>
      <c r="H17" s="97" t="str">
        <f aca="false">IFERROR(IF(INDEX(Candidates!$S$2:$S$201,MATCH(2,Candidates!$V$2:$V$201,0))="","",INDEX(Candidates!$S$2:$S$201,MATCH(2,Candidates!$V$2:$V$201,0))),"")</f>
        <v/>
      </c>
      <c r="I17" s="96" t="str">
        <f aca="false">IFERROR(INDEX(Candidates!$T$2:$T$201,MATCH(2,Candidates!$V$2:$V$201,0))&amp;"","")</f>
        <v/>
      </c>
    </row>
    <row r="18" customFormat="false" ht="15" hidden="false" customHeight="false" outlineLevel="0" collapsed="false">
      <c r="A18" s="96" t="str">
        <f aca="false">IFERROR(INDEX(Candidates!$A$2:$A$201,MATCH(3,Candidates!$V$2:$V$201,0))&amp;"","")</f>
        <v>CAN-2026-00013</v>
      </c>
      <c r="B18" s="96" t="str">
        <f aca="false">IFERROR(INDEX(Candidates!$C$2:$C$201,MATCH(3,Candidates!$V$2:$V$201,0))&amp;"","")</f>
        <v>Jessica Thomas</v>
      </c>
      <c r="C18" s="96" t="str">
        <f aca="false">IFERROR(INDEX(Candidates!$D$2:$D$201,MATCH(3,Candidates!$V$2:$V$201,0))&amp;"","")</f>
        <v>jessica.thomas@example.com</v>
      </c>
      <c r="D18" s="96" t="str">
        <f aca="false">IFERROR(INDEX(Candidates!$E$2:$E$201,MATCH(3,Candidates!$V$2:$V$201,0))&amp;"","")</f>
        <v>Marketing Manager</v>
      </c>
      <c r="E18" s="96" t="str">
        <f aca="false">IFERROR(INDEX(Candidates!$N$2:$N$201,MATCH(3,Candidates!$V$2:$V$201,0))&amp;"","")</f>
        <v>Potential Future Fit</v>
      </c>
      <c r="F18" s="97" t="n">
        <f aca="false">IFERROR(IF(INDEX(Candidates!$R$2:$R$201,MATCH(3,Candidates!$V$2:$V$201,0))="","",INDEX(Candidates!$R$2:$R$201,MATCH(3,Candidates!$V$2:$V$201,0))),"")</f>
        <v>46300</v>
      </c>
      <c r="G18" s="96" t="str">
        <f aca="true">IF(F18="","",IF(F18&lt;TODAY(),"Overdue by "&amp;(TODAY()-F18)&amp;" days",IF(F18=TODAY(),"Due today","Due in "&amp;(F18-TODAY())&amp;" days")))</f>
        <v>Due today</v>
      </c>
      <c r="H18" s="97" t="str">
        <f aca="false">IFERROR(IF(INDEX(Candidates!$S$2:$S$201,MATCH(3,Candidates!$V$2:$V$201,0))="","",INDEX(Candidates!$S$2:$S$201,MATCH(3,Candidates!$V$2:$V$201,0))),"")</f>
        <v/>
      </c>
      <c r="I18" s="96" t="str">
        <f aca="false">IFERROR(INDEX(Candidates!$T$2:$T$201,MATCH(3,Candidates!$V$2:$V$201,0))&amp;"","")</f>
        <v/>
      </c>
    </row>
    <row r="19" customFormat="false" ht="15" hidden="false" customHeight="false" outlineLevel="0" collapsed="false">
      <c r="A19" s="96" t="str">
        <f aca="false">IFERROR(INDEX(Candidates!$A$2:$A$201,MATCH(4,Candidates!$V$2:$V$201,0))&amp;"","")</f>
        <v>CAN-2026-00018</v>
      </c>
      <c r="B19" s="96" t="str">
        <f aca="false">IFERROR(INDEX(Candidates!$C$2:$C$201,MATCH(4,Candidates!$V$2:$V$201,0))&amp;"","")</f>
        <v>Jessica Anderson</v>
      </c>
      <c r="C19" s="96" t="str">
        <f aca="false">IFERROR(INDEX(Candidates!$D$2:$D$201,MATCH(4,Candidates!$V$2:$V$201,0))&amp;"","")</f>
        <v>jessica.anderson@example.com</v>
      </c>
      <c r="D19" s="96" t="str">
        <f aca="false">IFERROR(INDEX(Candidates!$E$2:$E$201,MATCH(4,Candidates!$V$2:$V$201,0))&amp;"","")</f>
        <v>Quality Engineer</v>
      </c>
      <c r="E19" s="96" t="str">
        <f aca="false">IFERROR(INDEX(Candidates!$N$2:$N$201,MATCH(4,Candidates!$V$2:$V$201,0))&amp;"","")</f>
        <v>Potential Future Fit</v>
      </c>
      <c r="F19" s="97" t="n">
        <f aca="false">IFERROR(IF(INDEX(Candidates!$R$2:$R$201,MATCH(4,Candidates!$V$2:$V$201,0))="","",INDEX(Candidates!$R$2:$R$201,MATCH(4,Candidates!$V$2:$V$201,0))),"")</f>
        <v>46301</v>
      </c>
      <c r="G19" s="96" t="str">
        <f aca="true">IF(F19="","",IF(F19&lt;TODAY(),"Overdue by "&amp;(TODAY()-F19)&amp;" days",IF(F19=TODAY(),"Due today","Due in "&amp;(F19-TODAY())&amp;" days")))</f>
        <v>Due in 1 days</v>
      </c>
      <c r="H19" s="97" t="str">
        <f aca="false">IFERROR(IF(INDEX(Candidates!$S$2:$S$201,MATCH(4,Candidates!$V$2:$V$201,0))="","",INDEX(Candidates!$S$2:$S$201,MATCH(4,Candidates!$V$2:$V$201,0))),"")</f>
        <v/>
      </c>
      <c r="I19" s="96" t="str">
        <f aca="false">IFERROR(INDEX(Candidates!$T$2:$T$201,MATCH(4,Candidates!$V$2:$V$201,0))&amp;"","")</f>
        <v/>
      </c>
    </row>
    <row r="20" customFormat="false" ht="15" hidden="false" customHeight="false" outlineLevel="0" collapsed="false">
      <c r="A20" s="96" t="str">
        <f aca="false">IFERROR(INDEX(Candidates!$A$2:$A$201,MATCH(5,Candidates!$V$2:$V$201,0))&amp;"","")</f>
        <v>CAN-2026-00020</v>
      </c>
      <c r="B20" s="96" t="str">
        <f aca="false">IFERROR(INDEX(Candidates!$C$2:$C$201,MATCH(5,Candidates!$V$2:$V$201,0))&amp;"","")</f>
        <v>Ashley Thomas</v>
      </c>
      <c r="C20" s="96" t="str">
        <f aca="false">IFERROR(INDEX(Candidates!$D$2:$D$201,MATCH(5,Candidates!$V$2:$V$201,0))&amp;"","")</f>
        <v>ashley.thomas@example.com</v>
      </c>
      <c r="D20" s="96" t="str">
        <f aca="false">IFERROR(INDEX(Candidates!$E$2:$E$201,MATCH(5,Candidates!$V$2:$V$201,0))&amp;"","")</f>
        <v>Marketing Manager</v>
      </c>
      <c r="E20" s="96" t="str">
        <f aca="false">IFERROR(INDEX(Candidates!$N$2:$N$201,MATCH(5,Candidates!$V$2:$V$201,0))&amp;"","")</f>
        <v>Potential Future Fit</v>
      </c>
      <c r="F20" s="97" t="n">
        <f aca="false">IFERROR(IF(INDEX(Candidates!$R$2:$R$201,MATCH(5,Candidates!$V$2:$V$201,0))="","",INDEX(Candidates!$R$2:$R$201,MATCH(5,Candidates!$V$2:$V$201,0))),"")</f>
        <v>46283</v>
      </c>
      <c r="G20" s="96" t="str">
        <f aca="true">IF(F20="","",IF(F20&lt;TODAY(),"Overdue by "&amp;(TODAY()-F20)&amp;" days",IF(F20=TODAY(),"Due today","Due in "&amp;(F20-TODAY())&amp;" days")))</f>
        <v>Overdue by 17 days</v>
      </c>
      <c r="H20" s="97" t="str">
        <f aca="false">IFERROR(IF(INDEX(Candidates!$S$2:$S$201,MATCH(5,Candidates!$V$2:$V$201,0))="","",INDEX(Candidates!$S$2:$S$201,MATCH(5,Candidates!$V$2:$V$201,0))),"")</f>
        <v/>
      </c>
      <c r="I20" s="96" t="str">
        <f aca="false">IFERROR(INDEX(Candidates!$T$2:$T$201,MATCH(5,Candidates!$V$2:$V$201,0))&amp;"","")</f>
        <v/>
      </c>
    </row>
    <row r="21" customFormat="false" ht="15" hidden="false" customHeight="false" outlineLevel="0" collapsed="false">
      <c r="A21" s="96" t="str">
        <f aca="false">IFERROR(INDEX(Candidates!$A$2:$A$201,MATCH(6,Candidates!$V$2:$V$201,0))&amp;"","")</f>
        <v>CAN-2026-00022</v>
      </c>
      <c r="B21" s="96" t="str">
        <f aca="false">IFERROR(INDEX(Candidates!$C$2:$C$201,MATCH(6,Candidates!$V$2:$V$201,0))&amp;"","")</f>
        <v>Megan Martin</v>
      </c>
      <c r="C21" s="96" t="str">
        <f aca="false">IFERROR(INDEX(Candidates!$D$2:$D$201,MATCH(6,Candidates!$V$2:$V$201,0))&amp;"","")</f>
        <v>megan.martin@example.com</v>
      </c>
      <c r="D21" s="96" t="str">
        <f aca="false">IFERROR(INDEX(Candidates!$E$2:$E$201,MATCH(6,Candidates!$V$2:$V$201,0))&amp;"","")</f>
        <v>Quality Engineer</v>
      </c>
      <c r="E21" s="96" t="str">
        <f aca="false">IFERROR(INDEX(Candidates!$N$2:$N$201,MATCH(6,Candidates!$V$2:$V$201,0))&amp;"","")</f>
        <v>Potential Future Fit</v>
      </c>
      <c r="F21" s="97" t="n">
        <f aca="false">IFERROR(IF(INDEX(Candidates!$R$2:$R$201,MATCH(6,Candidates!$V$2:$V$201,0))="","",INDEX(Candidates!$R$2:$R$201,MATCH(6,Candidates!$V$2:$V$201,0))),"")</f>
        <v>46301</v>
      </c>
      <c r="G21" s="96" t="str">
        <f aca="true">IF(F21="","",IF(F21&lt;TODAY(),"Overdue by "&amp;(TODAY()-F21)&amp;" days",IF(F21=TODAY(),"Due today","Due in "&amp;(F21-TODAY())&amp;" days")))</f>
        <v>Due in 1 days</v>
      </c>
      <c r="H21" s="97" t="str">
        <f aca="false">IFERROR(IF(INDEX(Candidates!$S$2:$S$201,MATCH(6,Candidates!$V$2:$V$201,0))="","",INDEX(Candidates!$S$2:$S$201,MATCH(6,Candidates!$V$2:$V$201,0))),"")</f>
        <v/>
      </c>
      <c r="I21" s="96" t="str">
        <f aca="false">IFERROR(INDEX(Candidates!$T$2:$T$201,MATCH(6,Candidates!$V$2:$V$201,0))&amp;"","")</f>
        <v/>
      </c>
    </row>
    <row r="22" customFormat="false" ht="15" hidden="false" customHeight="false" outlineLevel="0" collapsed="false">
      <c r="A22" s="96" t="str">
        <f aca="false">IFERROR(INDEX(Candidates!$A$2:$A$201,MATCH(7,Candidates!$V$2:$V$201,0))&amp;"","")</f>
        <v>CAN-2026-00025</v>
      </c>
      <c r="B22" s="96" t="str">
        <f aca="false">IFERROR(INDEX(Candidates!$C$2:$C$201,MATCH(7,Candidates!$V$2:$V$201,0))&amp;"","")</f>
        <v>Amanda Thompson</v>
      </c>
      <c r="C22" s="96" t="str">
        <f aca="false">IFERROR(INDEX(Candidates!$D$2:$D$201,MATCH(7,Candidates!$V$2:$V$201,0))&amp;"","")</f>
        <v>amanda.thompson@example.com</v>
      </c>
      <c r="D22" s="96" t="str">
        <f aca="false">IFERROR(INDEX(Candidates!$E$2:$E$201,MATCH(7,Candidates!$V$2:$V$201,0))&amp;"","")</f>
        <v>HR Generalist</v>
      </c>
      <c r="E22" s="96" t="str">
        <f aca="false">IFERROR(INDEX(Candidates!$N$2:$N$201,MATCH(7,Candidates!$V$2:$V$201,0))&amp;"","")</f>
        <v>Potential Future Fit</v>
      </c>
      <c r="F22" s="97" t="n">
        <f aca="false">IFERROR(IF(INDEX(Candidates!$R$2:$R$201,MATCH(7,Candidates!$V$2:$V$201,0))="","",INDEX(Candidates!$R$2:$R$201,MATCH(7,Candidates!$V$2:$V$201,0))),"")</f>
        <v>46303</v>
      </c>
      <c r="G22" s="96" t="str">
        <f aca="true">IF(F22="","",IF(F22&lt;TODAY(),"Overdue by "&amp;(TODAY()-F22)&amp;" days",IF(F22=TODAY(),"Due today","Due in "&amp;(F22-TODAY())&amp;" days")))</f>
        <v>Due in 3 days</v>
      </c>
      <c r="H22" s="97" t="str">
        <f aca="false">IFERROR(IF(INDEX(Candidates!$S$2:$S$201,MATCH(7,Candidates!$V$2:$V$201,0))="","",INDEX(Candidates!$S$2:$S$201,MATCH(7,Candidates!$V$2:$V$201,0))),"")</f>
        <v/>
      </c>
      <c r="I22" s="96" t="str">
        <f aca="false">IFERROR(INDEX(Candidates!$T$2:$T$201,MATCH(7,Candidates!$V$2:$V$201,0))&amp;"","")</f>
        <v/>
      </c>
    </row>
    <row r="23" customFormat="false" ht="15" hidden="false" customHeight="false" outlineLevel="0" collapsed="false">
      <c r="A23" s="96" t="str">
        <f aca="false">IFERROR(INDEX(Candidates!$A$2:$A$201,MATCH(8,Candidates!$V$2:$V$201,0))&amp;"","")</f>
        <v>CAN-2026-00026</v>
      </c>
      <c r="B23" s="96" t="str">
        <f aca="false">IFERROR(INDEX(Candidates!$C$2:$C$201,MATCH(8,Candidates!$V$2:$V$201,0))&amp;"","")</f>
        <v>Jason White</v>
      </c>
      <c r="C23" s="96" t="str">
        <f aca="false">IFERROR(INDEX(Candidates!$D$2:$D$201,MATCH(8,Candidates!$V$2:$V$201,0))&amp;"","")</f>
        <v>jason.white@example.com</v>
      </c>
      <c r="D23" s="96" t="str">
        <f aca="false">IFERROR(INDEX(Candidates!$E$2:$E$201,MATCH(8,Candidates!$V$2:$V$201,0))&amp;"","")</f>
        <v>Staff Accountant</v>
      </c>
      <c r="E23" s="96" t="str">
        <f aca="false">IFERROR(INDEX(Candidates!$N$2:$N$201,MATCH(8,Candidates!$V$2:$V$201,0))&amp;"","")</f>
        <v>Potential Future Fit</v>
      </c>
      <c r="F23" s="97" t="n">
        <f aca="false">IFERROR(IF(INDEX(Candidates!$R$2:$R$201,MATCH(8,Candidates!$V$2:$V$201,0))="","",INDEX(Candidates!$R$2:$R$201,MATCH(8,Candidates!$V$2:$V$201,0))),"")</f>
        <v>46301</v>
      </c>
      <c r="G23" s="96" t="str">
        <f aca="true">IF(F23="","",IF(F23&lt;TODAY(),"Overdue by "&amp;(TODAY()-F23)&amp;" days",IF(F23=TODAY(),"Due today","Due in "&amp;(F23-TODAY())&amp;" days")))</f>
        <v>Due in 1 days</v>
      </c>
      <c r="H23" s="97" t="str">
        <f aca="false">IFERROR(IF(INDEX(Candidates!$S$2:$S$201,MATCH(8,Candidates!$V$2:$V$201,0))="","",INDEX(Candidates!$S$2:$S$201,MATCH(8,Candidates!$V$2:$V$201,0))),"")</f>
        <v/>
      </c>
      <c r="I23" s="96" t="str">
        <f aca="false">IFERROR(INDEX(Candidates!$T$2:$T$201,MATCH(8,Candidates!$V$2:$V$201,0))&amp;"","")</f>
        <v/>
      </c>
    </row>
    <row r="24" customFormat="false" ht="15" hidden="false" customHeight="false" outlineLevel="0" collapsed="false">
      <c r="A24" s="96" t="str">
        <f aca="false">IFERROR(INDEX(Candidates!$A$2:$A$201,MATCH(9,Candidates!$V$2:$V$201,0))&amp;"","")</f>
        <v>CAN-2026-00031</v>
      </c>
      <c r="B24" s="96" t="str">
        <f aca="false">IFERROR(INDEX(Candidates!$C$2:$C$201,MATCH(9,Candidates!$V$2:$V$201,0))&amp;"","")</f>
        <v>Kevin Taylor</v>
      </c>
      <c r="C24" s="96" t="str">
        <f aca="false">IFERROR(INDEX(Candidates!$D$2:$D$201,MATCH(9,Candidates!$V$2:$V$201,0))&amp;"","")</f>
        <v>kevin.taylor@example.com</v>
      </c>
      <c r="D24" s="96" t="str">
        <f aca="false">IFERROR(INDEX(Candidates!$E$2:$E$201,MATCH(9,Candidates!$V$2:$V$201,0))&amp;"","")</f>
        <v>Account Executive</v>
      </c>
      <c r="E24" s="96" t="str">
        <f aca="false">IFERROR(INDEX(Candidates!$N$2:$N$201,MATCH(9,Candidates!$V$2:$V$201,0))&amp;"","")</f>
        <v>Strong Future Fit</v>
      </c>
      <c r="F24" s="97" t="n">
        <f aca="false">IFERROR(IF(INDEX(Candidates!$R$2:$R$201,MATCH(9,Candidates!$V$2:$V$201,0))="","",INDEX(Candidates!$R$2:$R$201,MATCH(9,Candidates!$V$2:$V$201,0))),"")</f>
        <v>46298</v>
      </c>
      <c r="G24" s="96" t="str">
        <f aca="true">IF(F24="","",IF(F24&lt;TODAY(),"Overdue by "&amp;(TODAY()-F24)&amp;" days",IF(F24=TODAY(),"Due today","Due in "&amp;(F24-TODAY())&amp;" days")))</f>
        <v>Overdue by 2 days</v>
      </c>
      <c r="H24" s="97" t="str">
        <f aca="false">IFERROR(IF(INDEX(Candidates!$S$2:$S$201,MATCH(9,Candidates!$V$2:$V$201,0))="","",INDEX(Candidates!$S$2:$S$201,MATCH(9,Candidates!$V$2:$V$201,0))),"")</f>
        <v/>
      </c>
      <c r="I24" s="96" t="str">
        <f aca="false">IFERROR(INDEX(Candidates!$T$2:$T$201,MATCH(9,Candidates!$V$2:$V$201,0))&amp;"","")</f>
        <v/>
      </c>
    </row>
    <row r="25" customFormat="false" ht="15" hidden="false" customHeight="false" outlineLevel="0" collapsed="false">
      <c r="A25" s="96" t="str">
        <f aca="false">IFERROR(INDEX(Candidates!$A$2:$A$201,MATCH(10,Candidates!$V$2:$V$201,0))&amp;"","")</f>
        <v>CAN-2026-00034</v>
      </c>
      <c r="B25" s="96" t="str">
        <f aca="false">IFERROR(INDEX(Candidates!$C$2:$C$201,MATCH(10,Candidates!$V$2:$V$201,0))&amp;"","")</f>
        <v>Nicole Miller</v>
      </c>
      <c r="C25" s="96" t="str">
        <f aca="false">IFERROR(INDEX(Candidates!$D$2:$D$201,MATCH(10,Candidates!$V$2:$V$201,0))&amp;"","")</f>
        <v>nicole.miller@example.com</v>
      </c>
      <c r="D25" s="96" t="str">
        <f aca="false">IFERROR(INDEX(Candidates!$E$2:$E$201,MATCH(10,Candidates!$V$2:$V$201,0))&amp;"","")</f>
        <v>Data Analyst</v>
      </c>
      <c r="E25" s="96" t="str">
        <f aca="false">IFERROR(INDEX(Candidates!$N$2:$N$201,MATCH(10,Candidates!$V$2:$V$201,0))&amp;"","")</f>
        <v>Strong Future Fit</v>
      </c>
      <c r="F25" s="97" t="n">
        <f aca="false">IFERROR(IF(INDEX(Candidates!$R$2:$R$201,MATCH(10,Candidates!$V$2:$V$201,0))="","",INDEX(Candidates!$R$2:$R$201,MATCH(10,Candidates!$V$2:$V$201,0))),"")</f>
        <v>46326</v>
      </c>
      <c r="G25" s="96" t="str">
        <f aca="true">IF(F25="","",IF(F25&lt;TODAY(),"Overdue by "&amp;(TODAY()-F25)&amp;" days",IF(F25=TODAY(),"Due today","Due in "&amp;(F25-TODAY())&amp;" days")))</f>
        <v>Due in 26 days</v>
      </c>
      <c r="H25" s="97" t="str">
        <f aca="false">IFERROR(IF(INDEX(Candidates!$S$2:$S$201,MATCH(10,Candidates!$V$2:$V$201,0))="","",INDEX(Candidates!$S$2:$S$201,MATCH(10,Candidates!$V$2:$V$201,0))),"")</f>
        <v/>
      </c>
      <c r="I25" s="96" t="str">
        <f aca="false">IFERROR(INDEX(Candidates!$T$2:$T$201,MATCH(10,Candidates!$V$2:$V$201,0))&amp;"","")</f>
        <v/>
      </c>
    </row>
    <row r="26" customFormat="false" ht="15" hidden="false" customHeight="false" outlineLevel="0" collapsed="false">
      <c r="A26" s="96" t="str">
        <f aca="false">IFERROR(INDEX(Candidates!$A$2:$A$201,MATCH(11,Candidates!$V$2:$V$201,0))&amp;"","")</f>
        <v>CAN-2026-00036</v>
      </c>
      <c r="B26" s="96" t="str">
        <f aca="false">IFERROR(INDEX(Candidates!$C$2:$C$201,MATCH(11,Candidates!$V$2:$V$201,0))&amp;"","")</f>
        <v>Christopher Thompson</v>
      </c>
      <c r="C26" s="96" t="str">
        <f aca="false">IFERROR(INDEX(Candidates!$D$2:$D$201,MATCH(11,Candidates!$V$2:$V$201,0))&amp;"","")</f>
        <v>christopher.thompson@example.com</v>
      </c>
      <c r="D26" s="96" t="str">
        <f aca="false">IFERROR(INDEX(Candidates!$E$2:$E$201,MATCH(11,Candidates!$V$2:$V$201,0))&amp;"","")</f>
        <v>Software Engineer</v>
      </c>
      <c r="E26" s="96" t="str">
        <f aca="false">IFERROR(INDEX(Candidates!$N$2:$N$201,MATCH(11,Candidates!$V$2:$V$201,0))&amp;"","")</f>
        <v>Potential Future Fit</v>
      </c>
      <c r="F26" s="97" t="n">
        <f aca="false">IFERROR(IF(INDEX(Candidates!$R$2:$R$201,MATCH(11,Candidates!$V$2:$V$201,0))="","",INDEX(Candidates!$R$2:$R$201,MATCH(11,Candidates!$V$2:$V$201,0))),"")</f>
        <v>46297</v>
      </c>
      <c r="G26" s="96" t="str">
        <f aca="true">IF(F26="","",IF(F26&lt;TODAY(),"Overdue by "&amp;(TODAY()-F26)&amp;" days",IF(F26=TODAY(),"Due today","Due in "&amp;(F26-TODAY())&amp;" days")))</f>
        <v>Overdue by 3 days</v>
      </c>
      <c r="H26" s="97" t="str">
        <f aca="false">IFERROR(IF(INDEX(Candidates!$S$2:$S$201,MATCH(11,Candidates!$V$2:$V$201,0))="","",INDEX(Candidates!$S$2:$S$201,MATCH(11,Candidates!$V$2:$V$201,0))),"")</f>
        <v/>
      </c>
      <c r="I26" s="96" t="str">
        <f aca="false">IFERROR(INDEX(Candidates!$T$2:$T$201,MATCH(11,Candidates!$V$2:$V$201,0))&amp;"","")</f>
        <v/>
      </c>
    </row>
    <row r="27" customFormat="false" ht="15" hidden="false" customHeight="false" outlineLevel="0" collapsed="false">
      <c r="A27" s="96" t="str">
        <f aca="false">IFERROR(INDEX(Candidates!$A$2:$A$201,MATCH(12,Candidates!$V$2:$V$201,0))&amp;"","")</f>
        <v>CAN-2026-00037</v>
      </c>
      <c r="B27" s="96" t="str">
        <f aca="false">IFERROR(INDEX(Candidates!$C$2:$C$201,MATCH(12,Candidates!$V$2:$V$201,0))&amp;"","")</f>
        <v>Ashley Miller</v>
      </c>
      <c r="C27" s="96" t="str">
        <f aca="false">IFERROR(INDEX(Candidates!$D$2:$D$201,MATCH(12,Candidates!$V$2:$V$201,0))&amp;"","")</f>
        <v>ashley.miller@example.com</v>
      </c>
      <c r="D27" s="96" t="str">
        <f aca="false">IFERROR(INDEX(Candidates!$E$2:$E$201,MATCH(12,Candidates!$V$2:$V$201,0))&amp;"","")</f>
        <v>Data Analyst</v>
      </c>
      <c r="E27" s="96" t="str">
        <f aca="false">IFERROR(INDEX(Candidates!$N$2:$N$201,MATCH(12,Candidates!$V$2:$V$201,0))&amp;"","")</f>
        <v>Potential Future Fit</v>
      </c>
      <c r="F27" s="97" t="n">
        <f aca="false">IFERROR(IF(INDEX(Candidates!$R$2:$R$201,MATCH(12,Candidates!$V$2:$V$201,0))="","",INDEX(Candidates!$R$2:$R$201,MATCH(12,Candidates!$V$2:$V$201,0))),"")</f>
        <v>46307</v>
      </c>
      <c r="G27" s="96" t="str">
        <f aca="true">IF(F27="","",IF(F27&lt;TODAY(),"Overdue by "&amp;(TODAY()-F27)&amp;" days",IF(F27=TODAY(),"Due today","Due in "&amp;(F27-TODAY())&amp;" days")))</f>
        <v>Due in 7 days</v>
      </c>
      <c r="H27" s="97" t="str">
        <f aca="false">IFERROR(IF(INDEX(Candidates!$S$2:$S$201,MATCH(12,Candidates!$V$2:$V$201,0))="","",INDEX(Candidates!$S$2:$S$201,MATCH(12,Candidates!$V$2:$V$201,0))),"")</f>
        <v/>
      </c>
      <c r="I27" s="96" t="str">
        <f aca="false">IFERROR(INDEX(Candidates!$T$2:$T$201,MATCH(12,Candidates!$V$2:$V$201,0))&amp;"","")</f>
        <v/>
      </c>
    </row>
    <row r="28" customFormat="false" ht="15" hidden="false" customHeight="false" outlineLevel="0" collapsed="false">
      <c r="A28" s="96" t="str">
        <f aca="false">IFERROR(INDEX(Candidates!$A$2:$A$201,MATCH(13,Candidates!$V$2:$V$201,0))&amp;"","")</f>
        <v>CAN-2026-00040</v>
      </c>
      <c r="B28" s="96" t="str">
        <f aca="false">IFERROR(INDEX(Candidates!$C$2:$C$201,MATCH(13,Candidates!$V$2:$V$201,0))&amp;"","")</f>
        <v>Megan Martinez</v>
      </c>
      <c r="C28" s="96" t="str">
        <f aca="false">IFERROR(INDEX(Candidates!$D$2:$D$201,MATCH(13,Candidates!$V$2:$V$201,0))&amp;"","")</f>
        <v>megan.martinez@example.com</v>
      </c>
      <c r="D28" s="96" t="str">
        <f aca="false">IFERROR(INDEX(Candidates!$E$2:$E$201,MATCH(13,Candidates!$V$2:$V$201,0))&amp;"","")</f>
        <v>HR Generalist</v>
      </c>
      <c r="E28" s="96" t="str">
        <f aca="false">IFERROR(INDEX(Candidates!$N$2:$N$201,MATCH(13,Candidates!$V$2:$V$201,0))&amp;"","")</f>
        <v>Strong Future Fit</v>
      </c>
      <c r="F28" s="97" t="n">
        <f aca="false">IFERROR(IF(INDEX(Candidates!$R$2:$R$201,MATCH(13,Candidates!$V$2:$V$201,0))="","",INDEX(Candidates!$R$2:$R$201,MATCH(13,Candidates!$V$2:$V$201,0))),"")</f>
        <v>46326</v>
      </c>
      <c r="G28" s="96" t="str">
        <f aca="true">IF(F28="","",IF(F28&lt;TODAY(),"Overdue by "&amp;(TODAY()-F28)&amp;" days",IF(F28=TODAY(),"Due today","Due in "&amp;(F28-TODAY())&amp;" days")))</f>
        <v>Due in 26 days</v>
      </c>
      <c r="H28" s="97" t="str">
        <f aca="false">IFERROR(IF(INDEX(Candidates!$S$2:$S$201,MATCH(13,Candidates!$V$2:$V$201,0))="","",INDEX(Candidates!$S$2:$S$201,MATCH(13,Candidates!$V$2:$V$201,0))),"")</f>
        <v/>
      </c>
      <c r="I28" s="96" t="str">
        <f aca="false">IFERROR(INDEX(Candidates!$T$2:$T$201,MATCH(13,Candidates!$V$2:$V$201,0))&amp;"","")</f>
        <v/>
      </c>
    </row>
    <row r="29" customFormat="false" ht="15" hidden="false" customHeight="false" outlineLevel="0" collapsed="false">
      <c r="A29" s="96" t="str">
        <f aca="false">IFERROR(INDEX(Candidates!$A$2:$A$201,MATCH(14,Candidates!$V$2:$V$201,0))&amp;"","")</f>
        <v/>
      </c>
      <c r="B29" s="96" t="str">
        <f aca="false">IFERROR(INDEX(Candidates!$C$2:$C$201,MATCH(14,Candidates!$V$2:$V$201,0))&amp;"","")</f>
        <v/>
      </c>
      <c r="C29" s="96" t="str">
        <f aca="false">IFERROR(INDEX(Candidates!$D$2:$D$201,MATCH(14,Candidates!$V$2:$V$201,0))&amp;"","")</f>
        <v/>
      </c>
      <c r="D29" s="96" t="str">
        <f aca="false">IFERROR(INDEX(Candidates!$E$2:$E$201,MATCH(14,Candidates!$V$2:$V$201,0))&amp;"","")</f>
        <v/>
      </c>
      <c r="E29" s="96" t="str">
        <f aca="false">IFERROR(INDEX(Candidates!$N$2:$N$201,MATCH(14,Candidates!$V$2:$V$201,0))&amp;"","")</f>
        <v/>
      </c>
      <c r="F29" s="97" t="str">
        <f aca="false">IFERROR(IF(INDEX(Candidates!$R$2:$R$201,MATCH(14,Candidates!$V$2:$V$201,0))="","",INDEX(Candidates!$R$2:$R$201,MATCH(14,Candidates!$V$2:$V$201,0))),"")</f>
        <v/>
      </c>
      <c r="G29" s="96" t="str">
        <f aca="true">IF(F29="","",IF(F29&lt;TODAY(),"Overdue by "&amp;(TODAY()-F29)&amp;" days",IF(F29=TODAY(),"Due today","Due in "&amp;(F29-TODAY())&amp;" days")))</f>
        <v/>
      </c>
      <c r="H29" s="97" t="str">
        <f aca="false">IFERROR(IF(INDEX(Candidates!$S$2:$S$201,MATCH(14,Candidates!$V$2:$V$201,0))="","",INDEX(Candidates!$S$2:$S$201,MATCH(14,Candidates!$V$2:$V$201,0))),"")</f>
        <v/>
      </c>
      <c r="I29" s="96" t="str">
        <f aca="false">IFERROR(INDEX(Candidates!$T$2:$T$201,MATCH(14,Candidates!$V$2:$V$201,0))&amp;"","")</f>
        <v/>
      </c>
    </row>
    <row r="30" customFormat="false" ht="15" hidden="false" customHeight="false" outlineLevel="0" collapsed="false">
      <c r="A30" s="96" t="str">
        <f aca="false">IFERROR(INDEX(Candidates!$A$2:$A$201,MATCH(15,Candidates!$V$2:$V$201,0))&amp;"","")</f>
        <v/>
      </c>
      <c r="B30" s="96" t="str">
        <f aca="false">IFERROR(INDEX(Candidates!$C$2:$C$201,MATCH(15,Candidates!$V$2:$V$201,0))&amp;"","")</f>
        <v/>
      </c>
      <c r="C30" s="96" t="str">
        <f aca="false">IFERROR(INDEX(Candidates!$D$2:$D$201,MATCH(15,Candidates!$V$2:$V$201,0))&amp;"","")</f>
        <v/>
      </c>
      <c r="D30" s="96" t="str">
        <f aca="false">IFERROR(INDEX(Candidates!$E$2:$E$201,MATCH(15,Candidates!$V$2:$V$201,0))&amp;"","")</f>
        <v/>
      </c>
      <c r="E30" s="96" t="str">
        <f aca="false">IFERROR(INDEX(Candidates!$N$2:$N$201,MATCH(15,Candidates!$V$2:$V$201,0))&amp;"","")</f>
        <v/>
      </c>
      <c r="F30" s="97" t="str">
        <f aca="false">IFERROR(IF(INDEX(Candidates!$R$2:$R$201,MATCH(15,Candidates!$V$2:$V$201,0))="","",INDEX(Candidates!$R$2:$R$201,MATCH(15,Candidates!$V$2:$V$201,0))),"")</f>
        <v/>
      </c>
      <c r="G30" s="96" t="str">
        <f aca="true">IF(F30="","",IF(F30&lt;TODAY(),"Overdue by "&amp;(TODAY()-F30)&amp;" days",IF(F30=TODAY(),"Due today","Due in "&amp;(F30-TODAY())&amp;" days")))</f>
        <v/>
      </c>
      <c r="H30" s="97" t="str">
        <f aca="false">IFERROR(IF(INDEX(Candidates!$S$2:$S$201,MATCH(15,Candidates!$V$2:$V$201,0))="","",INDEX(Candidates!$S$2:$S$201,MATCH(15,Candidates!$V$2:$V$201,0))),"")</f>
        <v/>
      </c>
      <c r="I30" s="96" t="str">
        <f aca="false">IFERROR(INDEX(Candidates!$T$2:$T$201,MATCH(15,Candidates!$V$2:$V$201,0))&amp;"","")</f>
        <v/>
      </c>
    </row>
    <row r="31" customFormat="false" ht="15" hidden="false" customHeight="false" outlineLevel="0" collapsed="false">
      <c r="A31" s="96" t="str">
        <f aca="false">IFERROR(INDEX(Candidates!$A$2:$A$201,MATCH(16,Candidates!$V$2:$V$201,0))&amp;"","")</f>
        <v/>
      </c>
      <c r="B31" s="96" t="str">
        <f aca="false">IFERROR(INDEX(Candidates!$C$2:$C$201,MATCH(16,Candidates!$V$2:$V$201,0))&amp;"","")</f>
        <v/>
      </c>
      <c r="C31" s="96" t="str">
        <f aca="false">IFERROR(INDEX(Candidates!$D$2:$D$201,MATCH(16,Candidates!$V$2:$V$201,0))&amp;"","")</f>
        <v/>
      </c>
      <c r="D31" s="96" t="str">
        <f aca="false">IFERROR(INDEX(Candidates!$E$2:$E$201,MATCH(16,Candidates!$V$2:$V$201,0))&amp;"","")</f>
        <v/>
      </c>
      <c r="E31" s="96" t="str">
        <f aca="false">IFERROR(INDEX(Candidates!$N$2:$N$201,MATCH(16,Candidates!$V$2:$V$201,0))&amp;"","")</f>
        <v/>
      </c>
      <c r="F31" s="97" t="str">
        <f aca="false">IFERROR(IF(INDEX(Candidates!$R$2:$R$201,MATCH(16,Candidates!$V$2:$V$201,0))="","",INDEX(Candidates!$R$2:$R$201,MATCH(16,Candidates!$V$2:$V$201,0))),"")</f>
        <v/>
      </c>
      <c r="G31" s="96" t="str">
        <f aca="true">IF(F31="","",IF(F31&lt;TODAY(),"Overdue by "&amp;(TODAY()-F31)&amp;" days",IF(F31=TODAY(),"Due today","Due in "&amp;(F31-TODAY())&amp;" days")))</f>
        <v/>
      </c>
      <c r="H31" s="97" t="str">
        <f aca="false">IFERROR(IF(INDEX(Candidates!$S$2:$S$201,MATCH(16,Candidates!$V$2:$V$201,0))="","",INDEX(Candidates!$S$2:$S$201,MATCH(16,Candidates!$V$2:$V$201,0))),"")</f>
        <v/>
      </c>
      <c r="I31" s="96" t="str">
        <f aca="false">IFERROR(INDEX(Candidates!$T$2:$T$201,MATCH(16,Candidates!$V$2:$V$201,0))&amp;"","")</f>
        <v/>
      </c>
    </row>
    <row r="32" customFormat="false" ht="15" hidden="false" customHeight="false" outlineLevel="0" collapsed="false">
      <c r="A32" s="96" t="str">
        <f aca="false">IFERROR(INDEX(Candidates!$A$2:$A$201,MATCH(17,Candidates!$V$2:$V$201,0))&amp;"","")</f>
        <v/>
      </c>
      <c r="B32" s="96" t="str">
        <f aca="false">IFERROR(INDEX(Candidates!$C$2:$C$201,MATCH(17,Candidates!$V$2:$V$201,0))&amp;"","")</f>
        <v/>
      </c>
      <c r="C32" s="96" t="str">
        <f aca="false">IFERROR(INDEX(Candidates!$D$2:$D$201,MATCH(17,Candidates!$V$2:$V$201,0))&amp;"","")</f>
        <v/>
      </c>
      <c r="D32" s="96" t="str">
        <f aca="false">IFERROR(INDEX(Candidates!$E$2:$E$201,MATCH(17,Candidates!$V$2:$V$201,0))&amp;"","")</f>
        <v/>
      </c>
      <c r="E32" s="96" t="str">
        <f aca="false">IFERROR(INDEX(Candidates!$N$2:$N$201,MATCH(17,Candidates!$V$2:$V$201,0))&amp;"","")</f>
        <v/>
      </c>
      <c r="F32" s="97" t="str">
        <f aca="false">IFERROR(IF(INDEX(Candidates!$R$2:$R$201,MATCH(17,Candidates!$V$2:$V$201,0))="","",INDEX(Candidates!$R$2:$R$201,MATCH(17,Candidates!$V$2:$V$201,0))),"")</f>
        <v/>
      </c>
      <c r="G32" s="96" t="str">
        <f aca="true">IF(F32="","",IF(F32&lt;TODAY(),"Overdue by "&amp;(TODAY()-F32)&amp;" days",IF(F32=TODAY(),"Due today","Due in "&amp;(F32-TODAY())&amp;" days")))</f>
        <v/>
      </c>
      <c r="H32" s="97" t="str">
        <f aca="false">IFERROR(IF(INDEX(Candidates!$S$2:$S$201,MATCH(17,Candidates!$V$2:$V$201,0))="","",INDEX(Candidates!$S$2:$S$201,MATCH(17,Candidates!$V$2:$V$201,0))),"")</f>
        <v/>
      </c>
      <c r="I32" s="96" t="str">
        <f aca="false">IFERROR(INDEX(Candidates!$T$2:$T$201,MATCH(17,Candidates!$V$2:$V$201,0))&amp;"","")</f>
        <v/>
      </c>
    </row>
    <row r="33" customFormat="false" ht="15" hidden="false" customHeight="false" outlineLevel="0" collapsed="false">
      <c r="A33" s="96" t="str">
        <f aca="false">IFERROR(INDEX(Candidates!$A$2:$A$201,MATCH(18,Candidates!$V$2:$V$201,0))&amp;"","")</f>
        <v/>
      </c>
      <c r="B33" s="96" t="str">
        <f aca="false">IFERROR(INDEX(Candidates!$C$2:$C$201,MATCH(18,Candidates!$V$2:$V$201,0))&amp;"","")</f>
        <v/>
      </c>
      <c r="C33" s="96" t="str">
        <f aca="false">IFERROR(INDEX(Candidates!$D$2:$D$201,MATCH(18,Candidates!$V$2:$V$201,0))&amp;"","")</f>
        <v/>
      </c>
      <c r="D33" s="96" t="str">
        <f aca="false">IFERROR(INDEX(Candidates!$E$2:$E$201,MATCH(18,Candidates!$V$2:$V$201,0))&amp;"","")</f>
        <v/>
      </c>
      <c r="E33" s="96" t="str">
        <f aca="false">IFERROR(INDEX(Candidates!$N$2:$N$201,MATCH(18,Candidates!$V$2:$V$201,0))&amp;"","")</f>
        <v/>
      </c>
      <c r="F33" s="97" t="str">
        <f aca="false">IFERROR(IF(INDEX(Candidates!$R$2:$R$201,MATCH(18,Candidates!$V$2:$V$201,0))="","",INDEX(Candidates!$R$2:$R$201,MATCH(18,Candidates!$V$2:$V$201,0))),"")</f>
        <v/>
      </c>
      <c r="G33" s="96" t="str">
        <f aca="true">IF(F33="","",IF(F33&lt;TODAY(),"Overdue by "&amp;(TODAY()-F33)&amp;" days",IF(F33=TODAY(),"Due today","Due in "&amp;(F33-TODAY())&amp;" days")))</f>
        <v/>
      </c>
      <c r="H33" s="97" t="str">
        <f aca="false">IFERROR(IF(INDEX(Candidates!$S$2:$S$201,MATCH(18,Candidates!$V$2:$V$201,0))="","",INDEX(Candidates!$S$2:$S$201,MATCH(18,Candidates!$V$2:$V$201,0))),"")</f>
        <v/>
      </c>
      <c r="I33" s="96" t="str">
        <f aca="false">IFERROR(INDEX(Candidates!$T$2:$T$201,MATCH(18,Candidates!$V$2:$V$201,0))&amp;"","")</f>
        <v/>
      </c>
    </row>
    <row r="34" customFormat="false" ht="15" hidden="false" customHeight="false" outlineLevel="0" collapsed="false">
      <c r="A34" s="96" t="str">
        <f aca="false">IFERROR(INDEX(Candidates!$A$2:$A$201,MATCH(19,Candidates!$V$2:$V$201,0))&amp;"","")</f>
        <v/>
      </c>
      <c r="B34" s="96" t="str">
        <f aca="false">IFERROR(INDEX(Candidates!$C$2:$C$201,MATCH(19,Candidates!$V$2:$V$201,0))&amp;"","")</f>
        <v/>
      </c>
      <c r="C34" s="96" t="str">
        <f aca="false">IFERROR(INDEX(Candidates!$D$2:$D$201,MATCH(19,Candidates!$V$2:$V$201,0))&amp;"","")</f>
        <v/>
      </c>
      <c r="D34" s="96" t="str">
        <f aca="false">IFERROR(INDEX(Candidates!$E$2:$E$201,MATCH(19,Candidates!$V$2:$V$201,0))&amp;"","")</f>
        <v/>
      </c>
      <c r="E34" s="96" t="str">
        <f aca="false">IFERROR(INDEX(Candidates!$N$2:$N$201,MATCH(19,Candidates!$V$2:$V$201,0))&amp;"","")</f>
        <v/>
      </c>
      <c r="F34" s="97" t="str">
        <f aca="false">IFERROR(IF(INDEX(Candidates!$R$2:$R$201,MATCH(19,Candidates!$V$2:$V$201,0))="","",INDEX(Candidates!$R$2:$R$201,MATCH(19,Candidates!$V$2:$V$201,0))),"")</f>
        <v/>
      </c>
      <c r="G34" s="96" t="str">
        <f aca="true">IF(F34="","",IF(F34&lt;TODAY(),"Overdue by "&amp;(TODAY()-F34)&amp;" days",IF(F34=TODAY(),"Due today","Due in "&amp;(F34-TODAY())&amp;" days")))</f>
        <v/>
      </c>
      <c r="H34" s="97" t="str">
        <f aca="false">IFERROR(IF(INDEX(Candidates!$S$2:$S$201,MATCH(19,Candidates!$V$2:$V$201,0))="","",INDEX(Candidates!$S$2:$S$201,MATCH(19,Candidates!$V$2:$V$201,0))),"")</f>
        <v/>
      </c>
      <c r="I34" s="96" t="str">
        <f aca="false">IFERROR(INDEX(Candidates!$T$2:$T$201,MATCH(19,Candidates!$V$2:$V$201,0))&amp;"","")</f>
        <v/>
      </c>
    </row>
    <row r="35" customFormat="false" ht="15" hidden="false" customHeight="false" outlineLevel="0" collapsed="false">
      <c r="A35" s="96" t="str">
        <f aca="false">IFERROR(INDEX(Candidates!$A$2:$A$201,MATCH(20,Candidates!$V$2:$V$201,0))&amp;"","")</f>
        <v/>
      </c>
      <c r="B35" s="96" t="str">
        <f aca="false">IFERROR(INDEX(Candidates!$C$2:$C$201,MATCH(20,Candidates!$V$2:$V$201,0))&amp;"","")</f>
        <v/>
      </c>
      <c r="C35" s="96" t="str">
        <f aca="false">IFERROR(INDEX(Candidates!$D$2:$D$201,MATCH(20,Candidates!$V$2:$V$201,0))&amp;"","")</f>
        <v/>
      </c>
      <c r="D35" s="96" t="str">
        <f aca="false">IFERROR(INDEX(Candidates!$E$2:$E$201,MATCH(20,Candidates!$V$2:$V$201,0))&amp;"","")</f>
        <v/>
      </c>
      <c r="E35" s="96" t="str">
        <f aca="false">IFERROR(INDEX(Candidates!$N$2:$N$201,MATCH(20,Candidates!$V$2:$V$201,0))&amp;"","")</f>
        <v/>
      </c>
      <c r="F35" s="97" t="str">
        <f aca="false">IFERROR(IF(INDEX(Candidates!$R$2:$R$201,MATCH(20,Candidates!$V$2:$V$201,0))="","",INDEX(Candidates!$R$2:$R$201,MATCH(20,Candidates!$V$2:$V$201,0))),"")</f>
        <v/>
      </c>
      <c r="G35" s="96" t="str">
        <f aca="true">IF(F35="","",IF(F35&lt;TODAY(),"Overdue by "&amp;(TODAY()-F35)&amp;" days",IF(F35=TODAY(),"Due today","Due in "&amp;(F35-TODAY())&amp;" days")))</f>
        <v/>
      </c>
      <c r="H35" s="97" t="str">
        <f aca="false">IFERROR(IF(INDEX(Candidates!$S$2:$S$201,MATCH(20,Candidates!$V$2:$V$201,0))="","",INDEX(Candidates!$S$2:$S$201,MATCH(20,Candidates!$V$2:$V$201,0))),"")</f>
        <v/>
      </c>
      <c r="I35" s="96" t="str">
        <f aca="false">IFERROR(INDEX(Candidates!$T$2:$T$201,MATCH(20,Candidates!$V$2:$V$201,0))&amp;"","")</f>
        <v/>
      </c>
    </row>
  </sheetData>
  <sheetProtection sheet="true" password="ec7c"/>
  <conditionalFormatting sqref="G16:G35">
    <cfRule type="expression" priority="2" aboveAverage="0" equalAverage="0" bottom="0" percent="0" rank="0" text="" dxfId="29">
      <formula>LEFT($G16,7)="Overdue"</formula>
    </cfRule>
    <cfRule type="expression" priority="3" aboveAverage="0" equalAverage="0" bottom="0" percent="0" rank="0" text="" dxfId="23">
      <formula>LEFT($G16,3)="Due"</formula>
    </cfRule>
  </conditionalFormatting>
  <dataValidations count="2">
    <dataValidation allowBlank="true" errorStyle="stop" operator="between" showDropDown="false" showErrorMessage="true" showInputMessage="false" sqref="B5" type="list">
      <formula1>Candidates!$W$2:$W$201</formula1>
      <formula2>0</formula2>
    </dataValidation>
    <dataValidation allowBlank="true" errorStyle="stop" operator="between" showDropDown="false" showErrorMessage="true" showInputMessage="false" sqref="B8" type="list">
      <formula1>Lists!$H$2:$H$6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24"/>
    <col collapsed="false" customWidth="true" hidden="false" outlineLevel="0" max="4" min="4" style="0" width="12"/>
    <col collapsed="false" customWidth="true" hidden="false" outlineLevel="0" max="5" min="5" style="0" width="10"/>
    <col collapsed="false" customWidth="true" hidden="false" outlineLevel="0" max="6" min="6" style="0" width="16"/>
    <col collapsed="false" customWidth="true" hidden="false" outlineLevel="0" max="7" min="7" style="0" width="22"/>
    <col collapsed="false" customWidth="true" hidden="false" outlineLevel="0" max="8" min="8" style="0" width="13"/>
    <col collapsed="false" customWidth="true" hidden="false" outlineLevel="0" max="9" min="9" style="0" width="14"/>
    <col collapsed="false" customWidth="true" hidden="false" outlineLevel="0" max="10" min="10" style="0" width="16"/>
    <col collapsed="false" customWidth="true" hidden="false" outlineLevel="0" max="11" min="11" style="0" width="11"/>
    <col collapsed="false" customWidth="true" hidden="false" outlineLevel="0" max="12" min="12" style="0" width="13"/>
    <col collapsed="false" customWidth="true" hidden="false" outlineLevel="0" max="13" min="13" style="0" width="14"/>
    <col collapsed="false" customWidth="true" hidden="false" outlineLevel="0" max="14" min="14" style="0" width="12"/>
    <col collapsed="false" customWidth="true" hidden="false" outlineLevel="0" max="15" min="15" style="0" width="14"/>
    <col collapsed="false" customWidth="true" hidden="false" outlineLevel="0" max="16" min="16" style="0" width="11"/>
    <col collapsed="false" customWidth="true" hidden="false" outlineLevel="0" max="17" min="17" style="0" width="3"/>
    <col collapsed="false" customWidth="true" hidden="false" outlineLevel="0" max="18" min="18" style="0" width="12"/>
    <col collapsed="false" customWidth="true" hidden="false" outlineLevel="0" max="19" min="19" style="0" width="10"/>
  </cols>
  <sheetData>
    <row r="1" customFormat="false" ht="42" hidden="false" customHeight="true" outlineLevel="0" collapsed="false">
      <c r="A1" s="85" t="s">
        <v>478</v>
      </c>
      <c r="B1" s="1"/>
      <c r="C1" s="1"/>
      <c r="D1" s="1"/>
      <c r="E1" s="1"/>
      <c r="F1" s="1"/>
      <c r="G1" s="1"/>
      <c r="H1" s="1"/>
      <c r="I1" s="1"/>
      <c r="J1" s="1"/>
      <c r="K1" s="1"/>
      <c r="L1" s="1"/>
      <c r="M1" s="1"/>
      <c r="N1" s="1"/>
      <c r="O1" s="1"/>
      <c r="P1" s="1"/>
    </row>
    <row r="2" customFormat="false" ht="24" hidden="false" customHeight="true" outlineLevel="0" collapsed="false">
      <c r="A2" s="100" t="s">
        <v>452</v>
      </c>
      <c r="B2" s="1"/>
      <c r="C2" s="1"/>
      <c r="D2" s="1"/>
      <c r="E2" s="1"/>
      <c r="F2" s="1"/>
      <c r="G2" s="1"/>
      <c r="H2" s="1"/>
      <c r="I2" s="1"/>
      <c r="J2" s="1"/>
      <c r="K2" s="1"/>
      <c r="L2" s="1"/>
      <c r="M2" s="1"/>
      <c r="N2" s="1"/>
      <c r="O2" s="1"/>
      <c r="P2" s="1"/>
    </row>
    <row r="3" customFormat="false" ht="4.5" hidden="false" customHeight="true" outlineLevel="0" collapsed="false">
      <c r="A3" s="108"/>
      <c r="B3" s="108"/>
      <c r="C3" s="108"/>
      <c r="D3" s="108"/>
      <c r="E3" s="108"/>
      <c r="F3" s="108"/>
      <c r="G3" s="108"/>
      <c r="H3" s="108"/>
      <c r="I3" s="108"/>
      <c r="J3" s="108"/>
      <c r="K3" s="108"/>
      <c r="L3" s="108"/>
      <c r="M3" s="108"/>
      <c r="N3" s="108"/>
      <c r="O3" s="108"/>
      <c r="P3" s="108"/>
    </row>
    <row r="4" customFormat="false" ht="24" hidden="false" customHeight="true" outlineLevel="0" collapsed="false">
      <c r="A4" s="109" t="s">
        <v>479</v>
      </c>
      <c r="B4" s="110" t="s">
        <v>261</v>
      </c>
      <c r="H4" s="111" t="s">
        <v>480</v>
      </c>
      <c r="I4" s="111"/>
      <c r="J4" s="112" t="s">
        <v>481</v>
      </c>
      <c r="K4" s="112"/>
      <c r="L4" s="113" t="s">
        <v>482</v>
      </c>
      <c r="M4" s="113"/>
    </row>
    <row r="5" customFormat="false" ht="24" hidden="false" customHeight="true" outlineLevel="0" collapsed="false">
      <c r="H5" s="114" t="n">
        <f aca="false">COUNTIF(Match_Calc!$I$2:$I$201,"&gt;=70")</f>
        <v>3</v>
      </c>
      <c r="I5" s="114"/>
      <c r="J5" s="115" t="n">
        <f aca="false">COUNTIFS(Match_Calc!$I$2:$I$201,"&gt;=50",Match_Calc!$I$2:$I$201,"&lt;70")</f>
        <v>4</v>
      </c>
      <c r="K5" s="115"/>
      <c r="L5" s="116" t="n">
        <f aca="false">COUNTA(Candidates!$A$2:$A$201)</f>
        <v>40</v>
      </c>
      <c r="M5" s="116"/>
    </row>
    <row r="6" customFormat="false" ht="24" hidden="false" customHeight="true" outlineLevel="0" collapsed="false">
      <c r="A6" s="117" t="s">
        <v>175</v>
      </c>
      <c r="B6" s="118" t="str">
        <f aca="false">IFERROR(INDEX(Positions!$B$2:$B$51,MATCH($B$4,Positions!$C$2:$C$51,0)),"")</f>
        <v>Marketing</v>
      </c>
      <c r="H6" s="114"/>
      <c r="I6" s="114"/>
      <c r="J6" s="115"/>
      <c r="K6" s="115"/>
      <c r="L6" s="116"/>
      <c r="M6" s="116"/>
    </row>
    <row r="7" customFormat="false" ht="15" hidden="false" customHeight="false" outlineLevel="0" collapsed="false">
      <c r="A7" s="117" t="s">
        <v>483</v>
      </c>
      <c r="B7" s="118" t="n">
        <f aca="false">IFERROR(INDEX(Positions!$D$2:$D$51,MATCH($B$4,Positions!$C$2:$C$51,0)),"")</f>
        <v>5</v>
      </c>
    </row>
    <row r="8" customFormat="false" ht="15" hidden="false" customHeight="false" outlineLevel="0" collapsed="false">
      <c r="A8" s="117" t="s">
        <v>166</v>
      </c>
      <c r="B8" s="118" t="str">
        <f aca="false">IFERROR(INDEX(Positions!$E$2:$E$51,MATCH($B$4,Positions!$C$2:$C$51,0)),"")</f>
        <v>Denver, CO</v>
      </c>
    </row>
    <row r="9" customFormat="false" ht="15" hidden="false" customHeight="false" outlineLevel="0" collapsed="false">
      <c r="A9" s="117" t="s">
        <v>484</v>
      </c>
      <c r="B9" s="119" t="n">
        <f aca="false">IFERROR(INDEX(Positions!$F$2:$F$51,MATCH($B$4,Positions!$C$2:$C$51,0)),"")</f>
        <v>98000</v>
      </c>
    </row>
    <row r="10" customFormat="false" ht="15" hidden="false" customHeight="false" outlineLevel="0" collapsed="false">
      <c r="A10" s="117" t="s">
        <v>485</v>
      </c>
      <c r="B10" s="118" t="str">
        <f aca="false">IFERROR(IF(INDEX(Positions!$G$2:$G$51,MATCH($B$4,Positions!$C$2:$C$51,0))="","",INDEX(Positions!$G$2:$G$51,MATCH($B$4,Positions!$C$2:$C$51,0))),"")</f>
        <v>SEO</v>
      </c>
      <c r="C10" s="118" t="str">
        <f aca="false">IFERROR(IF(INDEX(Positions!$H$2:$H$51,MATCH($B$4,Positions!$C$2:$C$51,0))="","",INDEX(Positions!$H$2:$H$51,MATCH($B$4,Positions!$C$2:$C$51,0))),"")</f>
        <v>Content Strategy</v>
      </c>
      <c r="D10" s="118" t="str">
        <f aca="false">IFERROR(IF(INDEX(Positions!$I$2:$I$51,MATCH($B$4,Positions!$C$2:$C$51,0))="","",INDEX(Positions!$I$2:$I$51,MATCH($B$4,Positions!$C$2:$C$51,0))),"")</f>
        <v>Google Analytics</v>
      </c>
      <c r="E10" s="118" t="str">
        <f aca="false">IFERROR(IF(INDEX(Positions!$J$2:$J$51,MATCH($B$4,Positions!$C$2:$C$51,0))="","",INDEX(Positions!$J$2:$J$51,MATCH($B$4,Positions!$C$2:$C$51,0))),"")</f>
        <v>Email Marketing</v>
      </c>
      <c r="F10" s="118" t="str">
        <f aca="false">IFERROR(IF(INDEX(Positions!$K$2:$K$51,MATCH($B$4,Positions!$C$2:$C$51,0))="","",INDEX(Positions!$K$2:$K$51,MATCH($B$4,Positions!$C$2:$C$51,0))),"")</f>
        <v>Budgeting</v>
      </c>
    </row>
    <row r="11" customFormat="false" ht="15" hidden="false" customHeight="false" outlineLevel="0" collapsed="false">
      <c r="A11" s="120" t="s">
        <v>486</v>
      </c>
      <c r="B11" s="120" t="n">
        <f aca="false">SUMPRODUCT(--($B$10:$F$10&lt;&gt;""))</f>
        <v>5</v>
      </c>
    </row>
    <row r="13" customFormat="false" ht="25.5" hidden="false" customHeight="true" outlineLevel="0" collapsed="false">
      <c r="A13" s="41" t="s">
        <v>487</v>
      </c>
      <c r="B13" s="87"/>
      <c r="C13" s="87"/>
      <c r="D13" s="87"/>
      <c r="E13" s="87"/>
      <c r="F13" s="87"/>
      <c r="G13" s="87"/>
      <c r="H13" s="87"/>
      <c r="I13" s="87"/>
      <c r="J13" s="87"/>
      <c r="K13" s="87"/>
      <c r="L13" s="87"/>
      <c r="M13" s="87"/>
    </row>
    <row r="14" customFormat="false" ht="15" hidden="false" customHeight="false" outlineLevel="0" collapsed="false">
      <c r="A14" s="121" t="s">
        <v>488</v>
      </c>
    </row>
    <row r="15" customFormat="false" ht="15" hidden="false" customHeight="false" outlineLevel="0" collapsed="false">
      <c r="A15" s="117" t="s">
        <v>241</v>
      </c>
      <c r="B15" s="122" t="n">
        <v>40</v>
      </c>
      <c r="C15" s="104" t="s">
        <v>489</v>
      </c>
    </row>
    <row r="16" customFormat="false" ht="15" hidden="false" customHeight="false" outlineLevel="0" collapsed="false">
      <c r="A16" s="117" t="s">
        <v>490</v>
      </c>
      <c r="B16" s="122" t="n">
        <v>25</v>
      </c>
      <c r="C16" s="104" t="s">
        <v>491</v>
      </c>
    </row>
    <row r="17" customFormat="false" ht="15" hidden="false" customHeight="false" outlineLevel="0" collapsed="false">
      <c r="A17" s="117" t="s">
        <v>175</v>
      </c>
      <c r="B17" s="122" t="n">
        <v>15</v>
      </c>
      <c r="C17" s="104" t="s">
        <v>82</v>
      </c>
    </row>
    <row r="18" customFormat="false" ht="15" hidden="false" customHeight="false" outlineLevel="0" collapsed="false">
      <c r="A18" s="117" t="s">
        <v>166</v>
      </c>
      <c r="B18" s="122" t="n">
        <v>10</v>
      </c>
      <c r="C18" s="104" t="s">
        <v>492</v>
      </c>
    </row>
    <row r="19" customFormat="false" ht="15" hidden="false" customHeight="false" outlineLevel="0" collapsed="false">
      <c r="A19" s="117" t="s">
        <v>493</v>
      </c>
      <c r="B19" s="122" t="n">
        <v>5</v>
      </c>
      <c r="C19" s="104" t="s">
        <v>494</v>
      </c>
    </row>
    <row r="20" customFormat="false" ht="15" hidden="false" customHeight="false" outlineLevel="0" collapsed="false">
      <c r="A20" s="117" t="s">
        <v>495</v>
      </c>
      <c r="B20" s="122" t="n">
        <v>5</v>
      </c>
      <c r="C20" s="104" t="s">
        <v>496</v>
      </c>
    </row>
    <row r="21" customFormat="false" ht="15" hidden="false" customHeight="false" outlineLevel="0" collapsed="false">
      <c r="A21" s="117" t="s">
        <v>497</v>
      </c>
      <c r="B21" s="123" t="n">
        <f aca="false">SUM(B15:B20)</f>
        <v>100</v>
      </c>
      <c r="C21" s="124" t="str">
        <f aca="false">IF(B21=100,"OK","Warning: the total is not 100")</f>
        <v>OK</v>
      </c>
    </row>
    <row r="22" customFormat="false" ht="15" hidden="false" customHeight="false" outlineLevel="0" collapsed="false">
      <c r="A22" s="121" t="s">
        <v>498</v>
      </c>
    </row>
    <row r="24" customFormat="false" ht="25.5" hidden="false" customHeight="true" outlineLevel="0" collapsed="false">
      <c r="A24" s="48" t="str">
        <f aca="false">"🏆  Top 10 past candidates for: "&amp;B4</f>
        <v>🏆  Top 10 past candidates for: Marketing Manager</v>
      </c>
      <c r="B24" s="70"/>
      <c r="C24" s="70"/>
      <c r="D24" s="70"/>
      <c r="E24" s="70"/>
      <c r="F24" s="70"/>
      <c r="G24" s="70"/>
      <c r="H24" s="70"/>
      <c r="I24" s="70"/>
      <c r="J24" s="70"/>
      <c r="K24" s="70"/>
      <c r="L24" s="70"/>
      <c r="M24" s="70"/>
      <c r="N24" s="70"/>
      <c r="O24" s="70"/>
      <c r="P24" s="70"/>
    </row>
    <row r="25" customFormat="false" ht="31.5" hidden="false" customHeight="true" outlineLevel="0" collapsed="false">
      <c r="A25" s="83" t="s">
        <v>168</v>
      </c>
      <c r="B25" s="83" t="s">
        <v>499</v>
      </c>
      <c r="C25" s="83" t="s">
        <v>169</v>
      </c>
      <c r="D25" s="83" t="s">
        <v>166</v>
      </c>
      <c r="E25" s="83" t="s">
        <v>500</v>
      </c>
      <c r="F25" s="83" t="s">
        <v>63</v>
      </c>
      <c r="G25" s="83" t="s">
        <v>174</v>
      </c>
      <c r="H25" s="83" t="s">
        <v>501</v>
      </c>
      <c r="I25" s="83" t="s">
        <v>502</v>
      </c>
      <c r="J25" s="83" t="s">
        <v>503</v>
      </c>
      <c r="K25" s="83" t="s">
        <v>504</v>
      </c>
      <c r="L25" s="83" t="s">
        <v>505</v>
      </c>
      <c r="M25" s="83" t="s">
        <v>506</v>
      </c>
      <c r="N25" s="83" t="s">
        <v>507</v>
      </c>
      <c r="O25" s="83" t="s">
        <v>508</v>
      </c>
      <c r="P25" s="83" t="s">
        <v>509</v>
      </c>
      <c r="R25" s="125" t="s">
        <v>510</v>
      </c>
      <c r="S25" s="125" t="s">
        <v>511</v>
      </c>
    </row>
    <row r="26" customFormat="false" ht="15" hidden="false" customHeight="false" outlineLevel="0" collapsed="false">
      <c r="A26" s="126" t="str">
        <f aca="false">IF($S26="","",1&amp;". "&amp;INDEX(Candidates!$C$2:$C$201,$S26))</f>
        <v>1. Sarah Martinez</v>
      </c>
      <c r="B26" s="96" t="str">
        <f aca="false">IF($S26="","",INDEX(Candidates!$A$2:$A$201,$S26))</f>
        <v>CAN-2026-00023</v>
      </c>
      <c r="C26" s="96" t="str">
        <f aca="false">IF($S26="","",INDEX(Candidates!$E$2:$E$201,$S26))</f>
        <v>Marketing Manager</v>
      </c>
      <c r="D26" s="96" t="str">
        <f aca="false">IF($S26="","",INDEX(Candidates!$J$2:$J$201,$S26))</f>
        <v>Atlanta, GA</v>
      </c>
      <c r="E26" s="127" t="n">
        <f aca="false">IF($S26="","",INDEX(Candidates!$H$2:$H$201,$S26))</f>
        <v>6</v>
      </c>
      <c r="F26" s="127" t="str">
        <f aca="false">IF($S26="","",INDEX(Candidates!$M$2:$M$201,$S26))</f>
        <v>Not Selected</v>
      </c>
      <c r="G26" s="127" t="str">
        <f aca="false">IF($S26="","",INDEX(Candidates!$N$2:$N$201,$S26))</f>
        <v>Not Currently Relevant</v>
      </c>
      <c r="H26" s="128" t="n">
        <f aca="false">IF($S26="","",INDEX(Match_Calc!$I$2:$I$201,$S26))</f>
        <v>85</v>
      </c>
      <c r="I26" s="129" t="str">
        <f aca="false">IF($S26="","",REPT("█",ROUND(H26/10,0))&amp;REPT("░",10-ROUND(H26/10,0)))</f>
        <v>█████████░</v>
      </c>
      <c r="J26" s="130" t="str">
        <f aca="false">IF($S26="","",IF(H26&gt;=70,"Strong match",IF(H26&gt;=50,"Possible match","Weak match")))</f>
        <v>Strong match</v>
      </c>
      <c r="K26" s="131" t="n">
        <f aca="false">IF($S26="","",INDEX(Match_Calc!$C$2:$C$201,$S26)*$B$15)</f>
        <v>40</v>
      </c>
      <c r="L26" s="131" t="n">
        <f aca="false">IF($S26="","",INDEX(Match_Calc!$D$2:$D$201,$S26)*$B$16)</f>
        <v>25</v>
      </c>
      <c r="M26" s="131" t="n">
        <f aca="false">IF($S26="","",INDEX(Match_Calc!$E$2:$E$201,$S26)*$B$17)</f>
        <v>15</v>
      </c>
      <c r="N26" s="131" t="n">
        <f aca="false">IF($S26="","",INDEX(Match_Calc!$F$2:$F$201,$S26)*$B$18)</f>
        <v>0</v>
      </c>
      <c r="O26" s="131" t="n">
        <f aca="false">IF($S26="","",INDEX(Match_Calc!$G$2:$G$201,$S26)*$B$19)</f>
        <v>5</v>
      </c>
      <c r="P26" s="131" t="n">
        <f aca="false">IF($S26="","",INDEX(Match_Calc!$H$2:$H$201,$S26)*$B$20)</f>
        <v>0</v>
      </c>
      <c r="R26" s="125" t="n">
        <f aca="false">IFERROR(LARGE(Match_Calc!$J$2:$J$201,1),"")</f>
        <v>84.99999976</v>
      </c>
      <c r="S26" s="125" t="n">
        <f aca="false">IF(R26="","",MATCH(R26,Match_Calc!$J$2:$J$201,0))</f>
        <v>23</v>
      </c>
    </row>
    <row r="27" customFormat="false" ht="15" hidden="false" customHeight="false" outlineLevel="0" collapsed="false">
      <c r="A27" s="126" t="str">
        <f aca="false">IF($S27="","",2&amp;". "&amp;INDEX(Candidates!$C$2:$C$201,$S27))</f>
        <v>2. Nicole Brown</v>
      </c>
      <c r="B27" s="96" t="str">
        <f aca="false">IF($S27="","",INDEX(Candidates!$A$2:$A$201,$S27))</f>
        <v>CAN-2026-00007</v>
      </c>
      <c r="C27" s="96" t="str">
        <f aca="false">IF($S27="","",INDEX(Candidates!$E$2:$E$201,$S27))</f>
        <v>Marketing Manager</v>
      </c>
      <c r="D27" s="96" t="str">
        <f aca="false">IF($S27="","",INDEX(Candidates!$J$2:$J$201,$S27))</f>
        <v>Atlanta, GA</v>
      </c>
      <c r="E27" s="127" t="n">
        <f aca="false">IF($S27="","",INDEX(Candidates!$H$2:$H$201,$S27))</f>
        <v>5</v>
      </c>
      <c r="F27" s="127" t="str">
        <f aca="false">IF($S27="","",INDEX(Candidates!$M$2:$M$201,$S27))</f>
        <v>Not Selected</v>
      </c>
      <c r="G27" s="127" t="str">
        <f aca="false">IF($S27="","",INDEX(Candidates!$N$2:$N$201,$S27))</f>
        <v>Strong Future Fit</v>
      </c>
      <c r="H27" s="128" t="n">
        <f aca="false">IF($S27="","",INDEX(Match_Calc!$I$2:$I$201,$S27))</f>
        <v>82</v>
      </c>
      <c r="I27" s="129" t="str">
        <f aca="false">IF($S27="","",REPT("█",ROUND(H27/10,0))&amp;REPT("░",10-ROUND(H27/10,0)))</f>
        <v>████████░░</v>
      </c>
      <c r="J27" s="130" t="str">
        <f aca="false">IF($S27="","",IF(H27&gt;=70,"Strong match",IF(H27&gt;=50,"Possible match","Weak match")))</f>
        <v>Strong match</v>
      </c>
      <c r="K27" s="131" t="n">
        <f aca="false">IF($S27="","",INDEX(Match_Calc!$C$2:$C$201,$S27)*$B$15)</f>
        <v>32</v>
      </c>
      <c r="L27" s="131" t="n">
        <f aca="false">IF($S27="","",INDEX(Match_Calc!$D$2:$D$201,$S27)*$B$16)</f>
        <v>25</v>
      </c>
      <c r="M27" s="131" t="n">
        <f aca="false">IF($S27="","",INDEX(Match_Calc!$E$2:$E$201,$S27)*$B$17)</f>
        <v>15</v>
      </c>
      <c r="N27" s="131" t="n">
        <f aca="false">IF($S27="","",INDEX(Match_Calc!$F$2:$F$201,$S27)*$B$18)</f>
        <v>0</v>
      </c>
      <c r="O27" s="131" t="n">
        <f aca="false">IF($S27="","",INDEX(Match_Calc!$G$2:$G$201,$S27)*$B$19)</f>
        <v>5</v>
      </c>
      <c r="P27" s="131" t="n">
        <f aca="false">IF($S27="","",INDEX(Match_Calc!$H$2:$H$201,$S27)*$B$20)</f>
        <v>5</v>
      </c>
      <c r="R27" s="125" t="n">
        <f aca="false">IFERROR(LARGE(Match_Calc!$J$2:$J$201,2),"")</f>
        <v>81.99999992</v>
      </c>
      <c r="S27" s="125" t="n">
        <f aca="false">IF(R27="","",MATCH(R27,Match_Calc!$J$2:$J$201,0))</f>
        <v>7</v>
      </c>
    </row>
    <row r="28" customFormat="false" ht="15" hidden="false" customHeight="false" outlineLevel="0" collapsed="false">
      <c r="A28" s="126" t="str">
        <f aca="false">IF($S28="","",3&amp;". "&amp;INDEX(Candidates!$C$2:$C$201,$S28))</f>
        <v>3. Ashley Williams</v>
      </c>
      <c r="B28" s="96" t="str">
        <f aca="false">IF($S28="","",INDEX(Candidates!$A$2:$A$201,$S28))</f>
        <v>CAN-2026-00009</v>
      </c>
      <c r="C28" s="96" t="str">
        <f aca="false">IF($S28="","",INDEX(Candidates!$E$2:$E$201,$S28))</f>
        <v>Marketing Manager</v>
      </c>
      <c r="D28" s="96" t="str">
        <f aca="false">IF($S28="","",INDEX(Candidates!$J$2:$J$201,$S28))</f>
        <v>Austin, TX</v>
      </c>
      <c r="E28" s="127" t="n">
        <f aca="false">IF($S28="","",INDEX(Candidates!$H$2:$H$201,$S28))</f>
        <v>10</v>
      </c>
      <c r="F28" s="127" t="str">
        <f aca="false">IF($S28="","",INDEX(Candidates!$M$2:$M$201,$S28))</f>
        <v>Withdrawn</v>
      </c>
      <c r="G28" s="127" t="str">
        <f aca="false">IF($S28="","",INDEX(Candidates!$N$2:$N$201,$S28))</f>
        <v>Not Currently Relevant</v>
      </c>
      <c r="H28" s="128" t="n">
        <f aca="false">IF($S28="","",INDEX(Match_Calc!$I$2:$I$201,$S28))</f>
        <v>82</v>
      </c>
      <c r="I28" s="129" t="str">
        <f aca="false">IF($S28="","",REPT("█",ROUND(H28/10,0))&amp;REPT("░",10-ROUND(H28/10,0)))</f>
        <v>████████░░</v>
      </c>
      <c r="J28" s="130" t="str">
        <f aca="false">IF($S28="","",IF(H28&gt;=70,"Strong match",IF(H28&gt;=50,"Possible match","Weak match")))</f>
        <v>Strong match</v>
      </c>
      <c r="K28" s="131" t="n">
        <f aca="false">IF($S28="","",INDEX(Match_Calc!$C$2:$C$201,$S28)*$B$15)</f>
        <v>32</v>
      </c>
      <c r="L28" s="131" t="n">
        <f aca="false">IF($S28="","",INDEX(Match_Calc!$D$2:$D$201,$S28)*$B$16)</f>
        <v>25</v>
      </c>
      <c r="M28" s="131" t="n">
        <f aca="false">IF($S28="","",INDEX(Match_Calc!$E$2:$E$201,$S28)*$B$17)</f>
        <v>15</v>
      </c>
      <c r="N28" s="131" t="n">
        <f aca="false">IF($S28="","",INDEX(Match_Calc!$F$2:$F$201,$S28)*$B$18)</f>
        <v>0</v>
      </c>
      <c r="O28" s="131" t="n">
        <f aca="false">IF($S28="","",INDEX(Match_Calc!$G$2:$G$201,$S28)*$B$19)</f>
        <v>5</v>
      </c>
      <c r="P28" s="131" t="n">
        <f aca="false">IF($S28="","",INDEX(Match_Calc!$H$2:$H$201,$S28)*$B$20)</f>
        <v>5</v>
      </c>
      <c r="R28" s="125" t="n">
        <f aca="false">IFERROR(LARGE(Match_Calc!$J$2:$J$201,3),"")</f>
        <v>81.9999999</v>
      </c>
      <c r="S28" s="125" t="n">
        <f aca="false">IF(R28="","",MATCH(R28,Match_Calc!$J$2:$J$201,0))</f>
        <v>9</v>
      </c>
    </row>
    <row r="29" customFormat="false" ht="15" hidden="false" customHeight="false" outlineLevel="0" collapsed="false">
      <c r="A29" s="126" t="str">
        <f aca="false">IF($S29="","",4&amp;". "&amp;INDEX(Candidates!$C$2:$C$201,$S29))</f>
        <v>4. Jessica Thomas</v>
      </c>
      <c r="B29" s="96" t="str">
        <f aca="false">IF($S29="","",INDEX(Candidates!$A$2:$A$201,$S29))</f>
        <v>CAN-2026-00013</v>
      </c>
      <c r="C29" s="96" t="str">
        <f aca="false">IF($S29="","",INDEX(Candidates!$E$2:$E$201,$S29))</f>
        <v>Marketing Manager</v>
      </c>
      <c r="D29" s="96" t="str">
        <f aca="false">IF($S29="","",INDEX(Candidates!$J$2:$J$201,$S29))</f>
        <v>Austin, TX</v>
      </c>
      <c r="E29" s="127" t="n">
        <f aca="false">IF($S29="","",INDEX(Candidates!$H$2:$H$201,$S29))</f>
        <v>10</v>
      </c>
      <c r="F29" s="127" t="str">
        <f aca="false">IF($S29="","",INDEX(Candidates!$M$2:$M$201,$S29))</f>
        <v>Not Selected</v>
      </c>
      <c r="G29" s="127" t="str">
        <f aca="false">IF($S29="","",INDEX(Candidates!$N$2:$N$201,$S29))</f>
        <v>Potential Future Fit</v>
      </c>
      <c r="H29" s="128" t="n">
        <f aca="false">IF($S29="","",INDEX(Match_Calc!$I$2:$I$201,$S29))</f>
        <v>69</v>
      </c>
      <c r="I29" s="129" t="str">
        <f aca="false">IF($S29="","",REPT("█",ROUND(H29/10,0))&amp;REPT("░",10-ROUND(H29/10,0)))</f>
        <v>███████░░░</v>
      </c>
      <c r="J29" s="130" t="str">
        <f aca="false">IF($S29="","",IF(H29&gt;=70,"Strong match",IF(H29&gt;=50,"Possible match","Weak match")))</f>
        <v>Possible match</v>
      </c>
      <c r="K29" s="131" t="n">
        <f aca="false">IF($S29="","",INDEX(Match_Calc!$C$2:$C$201,$S29)*$B$15)</f>
        <v>24</v>
      </c>
      <c r="L29" s="131" t="n">
        <f aca="false">IF($S29="","",INDEX(Match_Calc!$D$2:$D$201,$S29)*$B$16)</f>
        <v>25</v>
      </c>
      <c r="M29" s="131" t="n">
        <f aca="false">IF($S29="","",INDEX(Match_Calc!$E$2:$E$201,$S29)*$B$17)</f>
        <v>15</v>
      </c>
      <c r="N29" s="131" t="n">
        <f aca="false">IF($S29="","",INDEX(Match_Calc!$F$2:$F$201,$S29)*$B$18)</f>
        <v>0</v>
      </c>
      <c r="O29" s="131" t="n">
        <f aca="false">IF($S29="","",INDEX(Match_Calc!$G$2:$G$201,$S29)*$B$19)</f>
        <v>5</v>
      </c>
      <c r="P29" s="131" t="n">
        <f aca="false">IF($S29="","",INDEX(Match_Calc!$H$2:$H$201,$S29)*$B$20)</f>
        <v>0</v>
      </c>
      <c r="R29" s="125" t="n">
        <f aca="false">IFERROR(LARGE(Match_Calc!$J$2:$J$201,4),"")</f>
        <v>68.99999986</v>
      </c>
      <c r="S29" s="125" t="n">
        <f aca="false">IF(R29="","",MATCH(R29,Match_Calc!$J$2:$J$201,0))</f>
        <v>13</v>
      </c>
    </row>
    <row r="30" customFormat="false" ht="15" hidden="false" customHeight="false" outlineLevel="0" collapsed="false">
      <c r="A30" s="126" t="str">
        <f aca="false">IF($S30="","",5&amp;". "&amp;INDEX(Candidates!$C$2:$C$201,$S30))</f>
        <v>5. Ashley Thomas</v>
      </c>
      <c r="B30" s="96" t="str">
        <f aca="false">IF($S30="","",INDEX(Candidates!$A$2:$A$201,$S30))</f>
        <v>CAN-2026-00020</v>
      </c>
      <c r="C30" s="96" t="str">
        <f aca="false">IF($S30="","",INDEX(Candidates!$E$2:$E$201,$S30))</f>
        <v>Marketing Manager</v>
      </c>
      <c r="D30" s="96" t="str">
        <f aca="false">IF($S30="","",INDEX(Candidates!$J$2:$J$201,$S30))</f>
        <v>Columbus, OH</v>
      </c>
      <c r="E30" s="127" t="n">
        <f aca="false">IF($S30="","",INDEX(Candidates!$H$2:$H$201,$S30))</f>
        <v>3</v>
      </c>
      <c r="F30" s="127" t="str">
        <f aca="false">IF($S30="","",INDEX(Candidates!$M$2:$M$201,$S30))</f>
        <v>Withdrawn</v>
      </c>
      <c r="G30" s="127" t="str">
        <f aca="false">IF($S30="","",INDEX(Candidates!$N$2:$N$201,$S30))</f>
        <v>Potential Future Fit</v>
      </c>
      <c r="H30" s="128" t="n">
        <f aca="false">IF($S30="","",INDEX(Match_Calc!$I$2:$I$201,$S30))</f>
        <v>61.5</v>
      </c>
      <c r="I30" s="129" t="str">
        <f aca="false">IF($S30="","",REPT("█",ROUND(H30/10,0))&amp;REPT("░",10-ROUND(H30/10,0)))</f>
        <v>██████░░░░</v>
      </c>
      <c r="J30" s="130" t="str">
        <f aca="false">IF($S30="","",IF(H30&gt;=70,"Strong match",IF(H30&gt;=50,"Possible match","Weak match")))</f>
        <v>Possible match</v>
      </c>
      <c r="K30" s="131" t="n">
        <f aca="false">IF($S30="","",INDEX(Match_Calc!$C$2:$C$201,$S30)*$B$15)</f>
        <v>24</v>
      </c>
      <c r="L30" s="131" t="n">
        <f aca="false">IF($S30="","",INDEX(Match_Calc!$D$2:$D$201,$S30)*$B$16)</f>
        <v>15</v>
      </c>
      <c r="M30" s="131" t="n">
        <f aca="false">IF($S30="","",INDEX(Match_Calc!$E$2:$E$201,$S30)*$B$17)</f>
        <v>15</v>
      </c>
      <c r="N30" s="131" t="n">
        <f aca="false">IF($S30="","",INDEX(Match_Calc!$F$2:$F$201,$S30)*$B$18)</f>
        <v>0</v>
      </c>
      <c r="O30" s="131" t="n">
        <f aca="false">IF($S30="","",INDEX(Match_Calc!$G$2:$G$201,$S30)*$B$19)</f>
        <v>2.5</v>
      </c>
      <c r="P30" s="131" t="n">
        <f aca="false">IF($S30="","",INDEX(Match_Calc!$H$2:$H$201,$S30)*$B$20)</f>
        <v>5</v>
      </c>
      <c r="R30" s="125" t="n">
        <f aca="false">IFERROR(LARGE(Match_Calc!$J$2:$J$201,5),"")</f>
        <v>61.49999979</v>
      </c>
      <c r="S30" s="125" t="n">
        <f aca="false">IF(R30="","",MATCH(R30,Match_Calc!$J$2:$J$201,0))</f>
        <v>20</v>
      </c>
    </row>
    <row r="31" customFormat="false" ht="15" hidden="false" customHeight="false" outlineLevel="0" collapsed="false">
      <c r="A31" s="126" t="str">
        <f aca="false">IF($S31="","",6&amp;". "&amp;INDEX(Candidates!$C$2:$C$201,$S31))</f>
        <v>6. Ashley Thompson</v>
      </c>
      <c r="B31" s="96" t="str">
        <f aca="false">IF($S31="","",INDEX(Candidates!$A$2:$A$201,$S31))</f>
        <v>CAN-2026-00010</v>
      </c>
      <c r="C31" s="96" t="str">
        <f aca="false">IF($S31="","",INDEX(Candidates!$E$2:$E$201,$S31))</f>
        <v>Marketing Manager</v>
      </c>
      <c r="D31" s="96" t="str">
        <f aca="false">IF($S31="","",INDEX(Candidates!$J$2:$J$201,$S31))</f>
        <v>Atlanta, GA</v>
      </c>
      <c r="E31" s="127" t="n">
        <f aca="false">IF($S31="","",INDEX(Candidates!$H$2:$H$201,$S31))</f>
        <v>1</v>
      </c>
      <c r="F31" s="127" t="str">
        <f aca="false">IF($S31="","",INDEX(Candidates!$M$2:$M$201,$S31))</f>
        <v>Screened</v>
      </c>
      <c r="G31" s="127" t="str">
        <f aca="false">IF($S31="","",INDEX(Candidates!$N$2:$N$201,$S31))</f>
        <v>Strong Future Fit</v>
      </c>
      <c r="H31" s="128" t="n">
        <f aca="false">IF($S31="","",INDEX(Match_Calc!$I$2:$I$201,$S31))</f>
        <v>57</v>
      </c>
      <c r="I31" s="129" t="str">
        <f aca="false">IF($S31="","",REPT("█",ROUND(H31/10,0))&amp;REPT("░",10-ROUND(H31/10,0)))</f>
        <v>██████░░░░</v>
      </c>
      <c r="J31" s="130" t="str">
        <f aca="false">IF($S31="","",IF(H31&gt;=70,"Strong match",IF(H31&gt;=50,"Possible match","Weak match")))</f>
        <v>Possible match</v>
      </c>
      <c r="K31" s="131" t="n">
        <f aca="false">IF($S31="","",INDEX(Match_Calc!$C$2:$C$201,$S31)*$B$15)</f>
        <v>32</v>
      </c>
      <c r="L31" s="131" t="n">
        <f aca="false">IF($S31="","",INDEX(Match_Calc!$D$2:$D$201,$S31)*$B$16)</f>
        <v>5</v>
      </c>
      <c r="M31" s="131" t="n">
        <f aca="false">IF($S31="","",INDEX(Match_Calc!$E$2:$E$201,$S31)*$B$17)</f>
        <v>15</v>
      </c>
      <c r="N31" s="131" t="n">
        <f aca="false">IF($S31="","",INDEX(Match_Calc!$F$2:$F$201,$S31)*$B$18)</f>
        <v>0</v>
      </c>
      <c r="O31" s="131" t="n">
        <f aca="false">IF($S31="","",INDEX(Match_Calc!$G$2:$G$201,$S31)*$B$19)</f>
        <v>5</v>
      </c>
      <c r="P31" s="131" t="n">
        <f aca="false">IF($S31="","",INDEX(Match_Calc!$H$2:$H$201,$S31)*$B$20)</f>
        <v>0</v>
      </c>
      <c r="R31" s="125" t="n">
        <f aca="false">IFERROR(LARGE(Match_Calc!$J$2:$J$201,6),"")</f>
        <v>56.99999989</v>
      </c>
      <c r="S31" s="125" t="n">
        <f aca="false">IF(R31="","",MATCH(R31,Match_Calc!$J$2:$J$201,0))</f>
        <v>10</v>
      </c>
    </row>
    <row r="32" customFormat="false" ht="15" hidden="false" customHeight="false" outlineLevel="0" collapsed="false">
      <c r="A32" s="126" t="str">
        <f aca="false">IF($S32="","",7&amp;". "&amp;INDEX(Candidates!$C$2:$C$201,$S32))</f>
        <v>7. Emily Martinez</v>
      </c>
      <c r="B32" s="96" t="str">
        <f aca="false">IF($S32="","",INDEX(Candidates!$A$2:$A$201,$S32))</f>
        <v>CAN-2026-00038</v>
      </c>
      <c r="C32" s="96" t="str">
        <f aca="false">IF($S32="","",INDEX(Candidates!$E$2:$E$201,$S32))</f>
        <v>HR Generalist</v>
      </c>
      <c r="D32" s="96" t="str">
        <f aca="false">IF($S32="","",INDEX(Candidates!$J$2:$J$201,$S32))</f>
        <v>Denver, CO</v>
      </c>
      <c r="E32" s="127" t="n">
        <f aca="false">IF($S32="","",INDEX(Candidates!$H$2:$H$201,$S32))</f>
        <v>9</v>
      </c>
      <c r="F32" s="127" t="str">
        <f aca="false">IF($S32="","",INDEX(Candidates!$M$2:$M$201,$S32))</f>
        <v>Not Selected</v>
      </c>
      <c r="G32" s="127" t="str">
        <f aca="false">IF($S32="","",INDEX(Candidates!$N$2:$N$201,$S32))</f>
        <v>Not Currently Relevant</v>
      </c>
      <c r="H32" s="128" t="n">
        <f aca="false">IF($S32="","",INDEX(Match_Calc!$I$2:$I$201,$S32))</f>
        <v>53</v>
      </c>
      <c r="I32" s="129" t="str">
        <f aca="false">IF($S32="","",REPT("█",ROUND(H32/10,0))&amp;REPT("░",10-ROUND(H32/10,0)))</f>
        <v>█████░░░░░</v>
      </c>
      <c r="J32" s="130" t="str">
        <f aca="false">IF($S32="","",IF(H32&gt;=70,"Strong match",IF(H32&gt;=50,"Possible match","Weak match")))</f>
        <v>Possible match</v>
      </c>
      <c r="K32" s="131" t="n">
        <f aca="false">IF($S32="","",INDEX(Match_Calc!$C$2:$C$201,$S32)*$B$15)</f>
        <v>8</v>
      </c>
      <c r="L32" s="131" t="n">
        <f aca="false">IF($S32="","",INDEX(Match_Calc!$D$2:$D$201,$S32)*$B$16)</f>
        <v>25</v>
      </c>
      <c r="M32" s="131" t="n">
        <f aca="false">IF($S32="","",INDEX(Match_Calc!$E$2:$E$201,$S32)*$B$17)</f>
        <v>0</v>
      </c>
      <c r="N32" s="131" t="n">
        <f aca="false">IF($S32="","",INDEX(Match_Calc!$F$2:$F$201,$S32)*$B$18)</f>
        <v>10</v>
      </c>
      <c r="O32" s="131" t="n">
        <f aca="false">IF($S32="","",INDEX(Match_Calc!$G$2:$G$201,$S32)*$B$19)</f>
        <v>5</v>
      </c>
      <c r="P32" s="131" t="n">
        <f aca="false">IF($S32="","",INDEX(Match_Calc!$H$2:$H$201,$S32)*$B$20)</f>
        <v>5</v>
      </c>
      <c r="R32" s="125" t="n">
        <f aca="false">IFERROR(LARGE(Match_Calc!$J$2:$J$201,7),"")</f>
        <v>52.99999961</v>
      </c>
      <c r="S32" s="125" t="n">
        <f aca="false">IF(R32="","",MATCH(R32,Match_Calc!$J$2:$J$201,0))</f>
        <v>38</v>
      </c>
    </row>
    <row r="33" customFormat="false" ht="15" hidden="false" customHeight="false" outlineLevel="0" collapsed="false">
      <c r="A33" s="126" t="str">
        <f aca="false">IF($S33="","",8&amp;". "&amp;INDEX(Candidates!$C$2:$C$201,$S33))</f>
        <v>8. Nicole Miller</v>
      </c>
      <c r="B33" s="96" t="str">
        <f aca="false">IF($S33="","",INDEX(Candidates!$A$2:$A$201,$S33))</f>
        <v>CAN-2026-00034</v>
      </c>
      <c r="C33" s="96" t="str">
        <f aca="false">IF($S33="","",INDEX(Candidates!$E$2:$E$201,$S33))</f>
        <v>Data Analyst</v>
      </c>
      <c r="D33" s="96" t="str">
        <f aca="false">IF($S33="","",INDEX(Candidates!$J$2:$J$201,$S33))</f>
        <v>Columbus, OH</v>
      </c>
      <c r="E33" s="127" t="n">
        <f aca="false">IF($S33="","",INDEX(Candidates!$H$2:$H$201,$S33))</f>
        <v>8</v>
      </c>
      <c r="F33" s="127" t="str">
        <f aca="false">IF($S33="","",INDEX(Candidates!$M$2:$M$201,$S33))</f>
        <v>Not Selected</v>
      </c>
      <c r="G33" s="127" t="str">
        <f aca="false">IF($S33="","",INDEX(Candidates!$N$2:$N$201,$S33))</f>
        <v>Strong Future Fit</v>
      </c>
      <c r="H33" s="128" t="n">
        <f aca="false">IF($S33="","",INDEX(Match_Calc!$I$2:$I$201,$S33))</f>
        <v>48.5</v>
      </c>
      <c r="I33" s="129" t="str">
        <f aca="false">IF($S33="","",REPT("█",ROUND(H33/10,0))&amp;REPT("░",10-ROUND(H33/10,0)))</f>
        <v>█████░░░░░</v>
      </c>
      <c r="J33" s="130" t="str">
        <f aca="false">IF($S33="","",IF(H33&gt;=70,"Strong match",IF(H33&gt;=50,"Possible match","Weak match")))</f>
        <v>Weak match</v>
      </c>
      <c r="K33" s="131" t="n">
        <f aca="false">IF($S33="","",INDEX(Match_Calc!$C$2:$C$201,$S33)*$B$15)</f>
        <v>16</v>
      </c>
      <c r="L33" s="131" t="n">
        <f aca="false">IF($S33="","",INDEX(Match_Calc!$D$2:$D$201,$S33)*$B$16)</f>
        <v>25</v>
      </c>
      <c r="M33" s="131" t="n">
        <f aca="false">IF($S33="","",INDEX(Match_Calc!$E$2:$E$201,$S33)*$B$17)</f>
        <v>0</v>
      </c>
      <c r="N33" s="131" t="n">
        <f aca="false">IF($S33="","",INDEX(Match_Calc!$F$2:$F$201,$S33)*$B$18)</f>
        <v>0</v>
      </c>
      <c r="O33" s="131" t="n">
        <f aca="false">IF($S33="","",INDEX(Match_Calc!$G$2:$G$201,$S33)*$B$19)</f>
        <v>2.5</v>
      </c>
      <c r="P33" s="131" t="n">
        <f aca="false">IF($S33="","",INDEX(Match_Calc!$H$2:$H$201,$S33)*$B$20)</f>
        <v>5</v>
      </c>
      <c r="R33" s="125" t="n">
        <f aca="false">IFERROR(LARGE(Match_Calc!$J$2:$J$201,8),"")</f>
        <v>48.49999965</v>
      </c>
      <c r="S33" s="125" t="n">
        <f aca="false">IF(R33="","",MATCH(R33,Match_Calc!$J$2:$J$201,0))</f>
        <v>34</v>
      </c>
    </row>
    <row r="34" customFormat="false" ht="15" hidden="false" customHeight="false" outlineLevel="0" collapsed="false">
      <c r="A34" s="126" t="str">
        <f aca="false">IF($S34="","",9&amp;". "&amp;INDEX(Candidates!$C$2:$C$201,$S34))</f>
        <v>9. Daniel Brown</v>
      </c>
      <c r="B34" s="96" t="str">
        <f aca="false">IF($S34="","",INDEX(Candidates!$A$2:$A$201,$S34))</f>
        <v>CAN-2026-00028</v>
      </c>
      <c r="C34" s="96" t="str">
        <f aca="false">IF($S34="","",INDEX(Candidates!$E$2:$E$201,$S34))</f>
        <v>HR Generalist</v>
      </c>
      <c r="D34" s="96" t="str">
        <f aca="false">IF($S34="","",INDEX(Candidates!$J$2:$J$201,$S34))</f>
        <v>Dallas, TX</v>
      </c>
      <c r="E34" s="127" t="n">
        <f aca="false">IF($S34="","",INDEX(Candidates!$H$2:$H$201,$S34))</f>
        <v>6</v>
      </c>
      <c r="F34" s="127" t="str">
        <f aca="false">IF($S34="","",INDEX(Candidates!$M$2:$M$201,$S34))</f>
        <v>Withdrawn</v>
      </c>
      <c r="G34" s="127" t="str">
        <f aca="false">IF($S34="","",INDEX(Candidates!$N$2:$N$201,$S34))</f>
        <v>Not Currently Relevant</v>
      </c>
      <c r="H34" s="128" t="n">
        <f aca="false">IF($S34="","",INDEX(Match_Calc!$I$2:$I$201,$S34))</f>
        <v>43</v>
      </c>
      <c r="I34" s="129" t="str">
        <f aca="false">IF($S34="","",REPT("█",ROUND(H34/10,0))&amp;REPT("░",10-ROUND(H34/10,0)))</f>
        <v>████░░░░░░</v>
      </c>
      <c r="J34" s="130" t="str">
        <f aca="false">IF($S34="","",IF(H34&gt;=70,"Strong match",IF(H34&gt;=50,"Possible match","Weak match")))</f>
        <v>Weak match</v>
      </c>
      <c r="K34" s="131" t="n">
        <f aca="false">IF($S34="","",INDEX(Match_Calc!$C$2:$C$201,$S34)*$B$15)</f>
        <v>8</v>
      </c>
      <c r="L34" s="131" t="n">
        <f aca="false">IF($S34="","",INDEX(Match_Calc!$D$2:$D$201,$S34)*$B$16)</f>
        <v>25</v>
      </c>
      <c r="M34" s="131" t="n">
        <f aca="false">IF($S34="","",INDEX(Match_Calc!$E$2:$E$201,$S34)*$B$17)</f>
        <v>0</v>
      </c>
      <c r="N34" s="131" t="n">
        <f aca="false">IF($S34="","",INDEX(Match_Calc!$F$2:$F$201,$S34)*$B$18)</f>
        <v>0</v>
      </c>
      <c r="O34" s="131" t="n">
        <f aca="false">IF($S34="","",INDEX(Match_Calc!$G$2:$G$201,$S34)*$B$19)</f>
        <v>5</v>
      </c>
      <c r="P34" s="131" t="n">
        <f aca="false">IF($S34="","",INDEX(Match_Calc!$H$2:$H$201,$S34)*$B$20)</f>
        <v>5</v>
      </c>
      <c r="R34" s="125" t="n">
        <f aca="false">IFERROR(LARGE(Match_Calc!$J$2:$J$201,9),"")</f>
        <v>42.99999971</v>
      </c>
      <c r="S34" s="125" t="n">
        <f aca="false">IF(R34="","",MATCH(R34,Match_Calc!$J$2:$J$201,0))</f>
        <v>28</v>
      </c>
    </row>
    <row r="35" customFormat="false" ht="15" hidden="false" customHeight="false" outlineLevel="0" collapsed="false">
      <c r="A35" s="126" t="str">
        <f aca="false">IF($S35="","",10&amp;". "&amp;INDEX(Candidates!$C$2:$C$201,$S35))</f>
        <v>10. Jessica Miller</v>
      </c>
      <c r="B35" s="96" t="str">
        <f aca="false">IF($S35="","",INDEX(Candidates!$A$2:$A$201,$S35))</f>
        <v>CAN-2026-00008</v>
      </c>
      <c r="C35" s="96" t="str">
        <f aca="false">IF($S35="","",INDEX(Candidates!$E$2:$E$201,$S35))</f>
        <v>Quality Engineer</v>
      </c>
      <c r="D35" s="96" t="str">
        <f aca="false">IF($S35="","",INDEX(Candidates!$J$2:$J$201,$S35))</f>
        <v>Atlanta, GA</v>
      </c>
      <c r="E35" s="127" t="n">
        <f aca="false">IF($S35="","",INDEX(Candidates!$H$2:$H$201,$S35))</f>
        <v>10</v>
      </c>
      <c r="F35" s="127" t="str">
        <f aca="false">IF($S35="","",INDEX(Candidates!$M$2:$M$201,$S35))</f>
        <v>Screened</v>
      </c>
      <c r="G35" s="127" t="str">
        <f aca="false">IF($S35="","",INDEX(Candidates!$N$2:$N$201,$S35))</f>
        <v>Potential Future Fit</v>
      </c>
      <c r="H35" s="128" t="n">
        <f aca="false">IF($S35="","",INDEX(Match_Calc!$I$2:$I$201,$S35))</f>
        <v>40.5</v>
      </c>
      <c r="I35" s="129" t="str">
        <f aca="false">IF($S35="","",REPT("█",ROUND(H35/10,0))&amp;REPT("░",10-ROUND(H35/10,0)))</f>
        <v>████░░░░░░</v>
      </c>
      <c r="J35" s="130" t="str">
        <f aca="false">IF($S35="","",IF(H35&gt;=70,"Strong match",IF(H35&gt;=50,"Possible match","Weak match")))</f>
        <v>Weak match</v>
      </c>
      <c r="K35" s="131" t="n">
        <f aca="false">IF($S35="","",INDEX(Match_Calc!$C$2:$C$201,$S35)*$B$15)</f>
        <v>8</v>
      </c>
      <c r="L35" s="131" t="n">
        <f aca="false">IF($S35="","",INDEX(Match_Calc!$D$2:$D$201,$S35)*$B$16)</f>
        <v>25</v>
      </c>
      <c r="M35" s="131" t="n">
        <f aca="false">IF($S35="","",INDEX(Match_Calc!$E$2:$E$201,$S35)*$B$17)</f>
        <v>0</v>
      </c>
      <c r="N35" s="131" t="n">
        <f aca="false">IF($S35="","",INDEX(Match_Calc!$F$2:$F$201,$S35)*$B$18)</f>
        <v>0</v>
      </c>
      <c r="O35" s="131" t="n">
        <f aca="false">IF($S35="","",INDEX(Match_Calc!$G$2:$G$201,$S35)*$B$19)</f>
        <v>2.5</v>
      </c>
      <c r="P35" s="131" t="n">
        <f aca="false">IF($S35="","",INDEX(Match_Calc!$H$2:$H$201,$S35)*$B$20)</f>
        <v>5</v>
      </c>
      <c r="R35" s="125" t="n">
        <f aca="false">IFERROR(LARGE(Match_Calc!$J$2:$J$201,10),"")</f>
        <v>40.49999991</v>
      </c>
      <c r="S35" s="125" t="n">
        <f aca="false">IF(R35="","",MATCH(R35,Match_Calc!$J$2:$J$201,0))</f>
        <v>8</v>
      </c>
    </row>
  </sheetData>
  <sheetProtection sheet="true" password="ec7c"/>
  <mergeCells count="6">
    <mergeCell ref="H4:I4"/>
    <mergeCell ref="J4:K4"/>
    <mergeCell ref="L4:M4"/>
    <mergeCell ref="H5:I6"/>
    <mergeCell ref="J5:K6"/>
    <mergeCell ref="L5:M6"/>
  </mergeCells>
  <conditionalFormatting sqref="J26:J35">
    <cfRule type="cellIs" priority="2" operator="equal" aboveAverage="0" equalAverage="0" bottom="0" percent="0" rank="0" text="" dxfId="25">
      <formula>"Strong match"</formula>
    </cfRule>
    <cfRule type="cellIs" priority="3" operator="equal" aboveAverage="0" equalAverage="0" bottom="0" percent="0" rank="0" text="" dxfId="30">
      <formula>"Possible match"</formula>
    </cfRule>
    <cfRule type="cellIs" priority="4" operator="equal" aboveAverage="0" equalAverage="0" bottom="0" percent="0" rank="0" text="" dxfId="22">
      <formula>"Weak match"</formula>
    </cfRule>
  </conditionalFormatting>
  <dataValidations count="1">
    <dataValidation allowBlank="true" errorStyle="stop" operator="between" showDropDown="false" showErrorMessage="true" showInputMessage="false" sqref="B4" type="list">
      <formula1>Positions!$C$2:$C$51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6B7F"/>
    <pageSetUpPr fitToPage="false"/>
  </sheetPr>
  <dimension ref="A1:S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6"/>
    <col collapsed="false" customWidth="true" hidden="false" outlineLevel="0" max="5" min="4" style="0" width="14"/>
    <col collapsed="false" customWidth="true" hidden="false" outlineLevel="0" max="6" min="6" style="0" width="16"/>
    <col collapsed="false" customWidth="true" hidden="false" outlineLevel="0" max="11" min="7" style="0" width="22"/>
    <col collapsed="false" customWidth="true" hidden="false" outlineLevel="0" max="13" min="12" style="0" width="12"/>
    <col collapsed="false" customWidth="true" hidden="false" outlineLevel="0" max="14" min="14" style="0" width="14"/>
    <col collapsed="false" customWidth="true" hidden="false" outlineLevel="0" max="15" min="15" style="0" width="18"/>
    <col collapsed="false" customWidth="true" hidden="false" outlineLevel="0" max="16" min="16" style="0" width="10"/>
    <col collapsed="false" customWidth="true" hidden="true" outlineLevel="0" max="17" min="17" style="0" width="8"/>
  </cols>
  <sheetData>
    <row r="1" customFormat="false" ht="31.5" hidden="false" customHeight="true" outlineLevel="0" collapsed="false">
      <c r="A1" s="95" t="s">
        <v>512</v>
      </c>
      <c r="B1" s="95" t="s">
        <v>175</v>
      </c>
      <c r="C1" s="95" t="s">
        <v>513</v>
      </c>
      <c r="D1" s="95" t="s">
        <v>514</v>
      </c>
      <c r="E1" s="95" t="s">
        <v>166</v>
      </c>
      <c r="F1" s="95" t="s">
        <v>515</v>
      </c>
      <c r="G1" s="95" t="s">
        <v>208</v>
      </c>
      <c r="H1" s="95" t="s">
        <v>210</v>
      </c>
      <c r="I1" s="95" t="s">
        <v>212</v>
      </c>
      <c r="J1" s="95" t="s">
        <v>213</v>
      </c>
      <c r="K1" s="95" t="s">
        <v>214</v>
      </c>
      <c r="L1" s="95" t="s">
        <v>63</v>
      </c>
      <c r="M1" s="95" t="s">
        <v>516</v>
      </c>
      <c r="N1" s="95" t="s">
        <v>517</v>
      </c>
      <c r="O1" s="95" t="s">
        <v>518</v>
      </c>
      <c r="P1" s="95" t="s">
        <v>519</v>
      </c>
      <c r="Q1" s="95" t="s">
        <v>520</v>
      </c>
      <c r="S1" s="132" t="s">
        <v>521</v>
      </c>
    </row>
    <row r="2" customFormat="false" ht="15" hidden="false" customHeight="false" outlineLevel="0" collapsed="false">
      <c r="A2" s="133" t="s">
        <v>522</v>
      </c>
      <c r="B2" s="133" t="s">
        <v>179</v>
      </c>
      <c r="C2" s="133" t="s">
        <v>301</v>
      </c>
      <c r="D2" s="133" t="n">
        <v>5</v>
      </c>
      <c r="E2" s="133" t="s">
        <v>263</v>
      </c>
      <c r="F2" s="134" t="n">
        <v>105000</v>
      </c>
      <c r="G2" s="133" t="s">
        <v>523</v>
      </c>
      <c r="H2" s="133" t="s">
        <v>524</v>
      </c>
      <c r="I2" s="133" t="s">
        <v>525</v>
      </c>
      <c r="J2" s="133" t="s">
        <v>526</v>
      </c>
      <c r="K2" s="133" t="s">
        <v>527</v>
      </c>
      <c r="L2" s="133" t="s">
        <v>528</v>
      </c>
      <c r="M2" s="133" t="n">
        <v>1</v>
      </c>
      <c r="N2" s="135" t="n">
        <v>46273</v>
      </c>
      <c r="O2" s="133" t="s">
        <v>529</v>
      </c>
      <c r="P2" s="133" t="s">
        <v>530</v>
      </c>
      <c r="Q2" s="125" t="n">
        <f aca="false">IF(AND(A2&lt;&gt;"",L2="Open"),COUNTIF($L$2:L2,"Open"),"")</f>
        <v>1</v>
      </c>
    </row>
    <row r="3" customFormat="false" ht="15" hidden="false" customHeight="false" outlineLevel="0" collapsed="false">
      <c r="A3" s="133" t="s">
        <v>531</v>
      </c>
      <c r="B3" s="133" t="s">
        <v>183</v>
      </c>
      <c r="C3" s="133" t="s">
        <v>348</v>
      </c>
      <c r="D3" s="133" t="n">
        <v>2</v>
      </c>
      <c r="E3" s="133" t="s">
        <v>274</v>
      </c>
      <c r="F3" s="134" t="n">
        <v>85000</v>
      </c>
      <c r="G3" s="133" t="s">
        <v>532</v>
      </c>
      <c r="H3" s="133" t="s">
        <v>533</v>
      </c>
      <c r="I3" s="133" t="s">
        <v>534</v>
      </c>
      <c r="J3" s="133" t="s">
        <v>535</v>
      </c>
      <c r="K3" s="133" t="s">
        <v>536</v>
      </c>
      <c r="L3" s="133" t="s">
        <v>528</v>
      </c>
      <c r="M3" s="133" t="n">
        <v>2</v>
      </c>
      <c r="N3" s="135" t="n">
        <v>46280</v>
      </c>
      <c r="O3" s="133" t="s">
        <v>537</v>
      </c>
      <c r="P3" s="133" t="s">
        <v>538</v>
      </c>
      <c r="Q3" s="125" t="n">
        <f aca="false">IF(AND(A3&lt;&gt;"",L3="Open"),COUNTIF($L$2:L3,"Open"),"")</f>
        <v>2</v>
      </c>
    </row>
    <row r="4" customFormat="false" ht="15" hidden="false" customHeight="false" outlineLevel="0" collapsed="false">
      <c r="A4" s="133" t="s">
        <v>539</v>
      </c>
      <c r="B4" s="133" t="s">
        <v>186</v>
      </c>
      <c r="C4" s="133" t="s">
        <v>388</v>
      </c>
      <c r="D4" s="133" t="n">
        <v>3</v>
      </c>
      <c r="E4" s="133" t="s">
        <v>307</v>
      </c>
      <c r="F4" s="134" t="n">
        <v>72000</v>
      </c>
      <c r="G4" s="133" t="s">
        <v>540</v>
      </c>
      <c r="H4" s="133" t="s">
        <v>541</v>
      </c>
      <c r="I4" s="133" t="s">
        <v>542</v>
      </c>
      <c r="J4" s="133" t="s">
        <v>543</v>
      </c>
      <c r="K4" s="133" t="s">
        <v>544</v>
      </c>
      <c r="L4" s="133" t="s">
        <v>528</v>
      </c>
      <c r="M4" s="133" t="n">
        <v>1</v>
      </c>
      <c r="N4" s="135" t="n">
        <v>46287</v>
      </c>
      <c r="O4" s="133" t="s">
        <v>545</v>
      </c>
      <c r="P4" s="133" t="s">
        <v>538</v>
      </c>
      <c r="Q4" s="125" t="n">
        <f aca="false">IF(AND(A4&lt;&gt;"",L4="Open"),COUNTIF($L$2:L4,"Open"),"")</f>
        <v>3</v>
      </c>
    </row>
    <row r="5" customFormat="false" ht="15" hidden="false" customHeight="false" outlineLevel="0" collapsed="false">
      <c r="A5" s="133" t="s">
        <v>546</v>
      </c>
      <c r="B5" s="133" t="s">
        <v>189</v>
      </c>
      <c r="C5" s="133" t="s">
        <v>272</v>
      </c>
      <c r="D5" s="133" t="n">
        <v>2</v>
      </c>
      <c r="E5" s="133" t="s">
        <v>288</v>
      </c>
      <c r="F5" s="134" t="n">
        <v>68000</v>
      </c>
      <c r="G5" s="133" t="s">
        <v>547</v>
      </c>
      <c r="H5" s="133" t="s">
        <v>548</v>
      </c>
      <c r="I5" s="133" t="s">
        <v>549</v>
      </c>
      <c r="J5" s="133" t="s">
        <v>533</v>
      </c>
      <c r="K5" s="133" t="s">
        <v>550</v>
      </c>
      <c r="L5" s="133" t="s">
        <v>551</v>
      </c>
      <c r="M5" s="133" t="n">
        <v>1</v>
      </c>
      <c r="N5" s="135" t="n">
        <v>46244</v>
      </c>
      <c r="O5" s="133" t="s">
        <v>552</v>
      </c>
      <c r="P5" s="133" t="s">
        <v>553</v>
      </c>
      <c r="Q5" s="125" t="str">
        <f aca="false">IF(AND(A5&lt;&gt;"",L5="Open"),COUNTIF($L$2:L5,"Open"),"")</f>
        <v/>
      </c>
    </row>
    <row r="6" customFormat="false" ht="15" hidden="false" customHeight="false" outlineLevel="0" collapsed="false">
      <c r="A6" s="133" t="s">
        <v>554</v>
      </c>
      <c r="B6" s="133" t="s">
        <v>191</v>
      </c>
      <c r="C6" s="133" t="s">
        <v>325</v>
      </c>
      <c r="D6" s="133" t="n">
        <v>3</v>
      </c>
      <c r="E6" s="133" t="s">
        <v>332</v>
      </c>
      <c r="F6" s="134" t="n">
        <v>95000</v>
      </c>
      <c r="G6" s="133" t="s">
        <v>555</v>
      </c>
      <c r="H6" s="133" t="s">
        <v>556</v>
      </c>
      <c r="I6" s="133" t="s">
        <v>557</v>
      </c>
      <c r="J6" s="133" t="s">
        <v>558</v>
      </c>
      <c r="K6" s="133" t="s">
        <v>559</v>
      </c>
      <c r="L6" s="133" t="s">
        <v>528</v>
      </c>
      <c r="M6" s="133" t="n">
        <v>3</v>
      </c>
      <c r="N6" s="135" t="n">
        <v>46266</v>
      </c>
      <c r="O6" s="133" t="s">
        <v>560</v>
      </c>
      <c r="P6" s="133" t="s">
        <v>530</v>
      </c>
      <c r="Q6" s="125" t="n">
        <f aca="false">IF(AND(A6&lt;&gt;"",L6="Open"),COUNTIF($L$2:L6,"Open"),"")</f>
        <v>4</v>
      </c>
    </row>
    <row r="7" customFormat="false" ht="15" hidden="false" customHeight="false" outlineLevel="0" collapsed="false">
      <c r="A7" s="133" t="s">
        <v>561</v>
      </c>
      <c r="B7" s="133" t="s">
        <v>193</v>
      </c>
      <c r="C7" s="133" t="s">
        <v>261</v>
      </c>
      <c r="D7" s="133" t="n">
        <v>5</v>
      </c>
      <c r="E7" s="133" t="s">
        <v>294</v>
      </c>
      <c r="F7" s="134" t="n">
        <v>98000</v>
      </c>
      <c r="G7" s="133" t="s">
        <v>562</v>
      </c>
      <c r="H7" s="133" t="s">
        <v>563</v>
      </c>
      <c r="I7" s="133" t="s">
        <v>564</v>
      </c>
      <c r="J7" s="133" t="s">
        <v>565</v>
      </c>
      <c r="K7" s="133" t="s">
        <v>525</v>
      </c>
      <c r="L7" s="133" t="s">
        <v>528</v>
      </c>
      <c r="M7" s="133" t="n">
        <v>1</v>
      </c>
      <c r="N7" s="135" t="n">
        <v>46294</v>
      </c>
      <c r="O7" s="133" t="s">
        <v>566</v>
      </c>
      <c r="P7" s="133" t="s">
        <v>538</v>
      </c>
      <c r="Q7" s="125" t="n">
        <f aca="false">IF(AND(A7&lt;&gt;"",L7="Open"),COUNTIF($L$2:L7,"Open"),"")</f>
        <v>5</v>
      </c>
    </row>
    <row r="8" customFormat="false" ht="15" hidden="false" customHeight="false" outlineLevel="0" collapsed="false">
      <c r="A8" s="133" t="s">
        <v>567</v>
      </c>
      <c r="B8" s="133" t="s">
        <v>195</v>
      </c>
      <c r="C8" s="133" t="s">
        <v>286</v>
      </c>
      <c r="D8" s="133" t="n">
        <v>3</v>
      </c>
      <c r="E8" s="133" t="s">
        <v>288</v>
      </c>
      <c r="F8" s="134" t="n">
        <v>90000</v>
      </c>
      <c r="G8" s="133" t="s">
        <v>568</v>
      </c>
      <c r="H8" s="133" t="s">
        <v>569</v>
      </c>
      <c r="I8" s="133" t="s">
        <v>570</v>
      </c>
      <c r="J8" s="133" t="s">
        <v>571</v>
      </c>
      <c r="K8" s="133" t="s">
        <v>572</v>
      </c>
      <c r="L8" s="133" t="s">
        <v>573</v>
      </c>
      <c r="M8" s="133" t="n">
        <v>1</v>
      </c>
      <c r="N8" s="135" t="n">
        <v>46259</v>
      </c>
      <c r="O8" s="133" t="s">
        <v>574</v>
      </c>
      <c r="P8" s="133" t="s">
        <v>553</v>
      </c>
      <c r="Q8" s="125" t="str">
        <f aca="false">IF(AND(A8&lt;&gt;"",L8="Open"),COUNTIF($L$2:L8,"Open"),"")</f>
        <v/>
      </c>
    </row>
    <row r="9" customFormat="false" ht="15" hidden="false" customHeight="false" outlineLevel="0" collapsed="false">
      <c r="A9" s="133" t="s">
        <v>575</v>
      </c>
      <c r="B9" s="133" t="s">
        <v>195</v>
      </c>
      <c r="C9" s="133" t="s">
        <v>363</v>
      </c>
      <c r="D9" s="133" t="n">
        <v>3</v>
      </c>
      <c r="E9" s="133" t="s">
        <v>274</v>
      </c>
      <c r="F9" s="134" t="n">
        <v>130000</v>
      </c>
      <c r="G9" s="133" t="s">
        <v>535</v>
      </c>
      <c r="H9" s="133" t="s">
        <v>576</v>
      </c>
      <c r="I9" s="133" t="s">
        <v>532</v>
      </c>
      <c r="J9" s="133" t="s">
        <v>577</v>
      </c>
      <c r="K9" s="133" t="s">
        <v>578</v>
      </c>
      <c r="L9" s="133" t="s">
        <v>528</v>
      </c>
      <c r="M9" s="133" t="n">
        <v>2</v>
      </c>
      <c r="N9" s="135" t="n">
        <v>46282</v>
      </c>
      <c r="O9" s="133" t="s">
        <v>579</v>
      </c>
      <c r="P9" s="133" t="s">
        <v>530</v>
      </c>
      <c r="Q9" s="125" t="n">
        <f aca="false">IF(AND(A9&lt;&gt;"",L9="Open"),COUNTIF($L$2:L9,"Open"),"")</f>
        <v>6</v>
      </c>
    </row>
    <row r="10" customFormat="false" ht="15" hidden="false" customHeight="false" outlineLevel="0" collapsed="false">
      <c r="A10" s="136"/>
      <c r="B10" s="136"/>
      <c r="C10" s="136"/>
      <c r="D10" s="136"/>
      <c r="E10" s="136"/>
      <c r="F10" s="137"/>
      <c r="G10" s="136"/>
      <c r="H10" s="136"/>
      <c r="I10" s="136"/>
      <c r="J10" s="136"/>
      <c r="K10" s="136"/>
      <c r="L10" s="136"/>
      <c r="M10" s="136"/>
      <c r="N10" s="138"/>
      <c r="O10" s="136"/>
      <c r="P10" s="136"/>
      <c r="Q10" s="125" t="str">
        <f aca="false">IF(AND(A10&lt;&gt;"",L10="Open"),COUNTIF($L$2:L10,"Open"),"")</f>
        <v/>
      </c>
    </row>
    <row r="11" customFormat="false" ht="15" hidden="false" customHeight="false" outlineLevel="0" collapsed="false">
      <c r="A11" s="136"/>
      <c r="B11" s="136"/>
      <c r="C11" s="136"/>
      <c r="D11" s="136"/>
      <c r="E11" s="136"/>
      <c r="F11" s="137"/>
      <c r="G11" s="136"/>
      <c r="H11" s="136"/>
      <c r="I11" s="136"/>
      <c r="J11" s="136"/>
      <c r="K11" s="136"/>
      <c r="L11" s="136"/>
      <c r="M11" s="136"/>
      <c r="N11" s="138"/>
      <c r="O11" s="136"/>
      <c r="P11" s="136"/>
      <c r="Q11" s="125" t="str">
        <f aca="false">IF(AND(A11&lt;&gt;"",L11="Open"),COUNTIF($L$2:L11,"Open"),"")</f>
        <v/>
      </c>
    </row>
    <row r="12" customFormat="false" ht="15" hidden="false" customHeight="false" outlineLevel="0" collapsed="false">
      <c r="A12" s="136"/>
      <c r="B12" s="136"/>
      <c r="C12" s="136"/>
      <c r="D12" s="136"/>
      <c r="E12" s="136"/>
      <c r="F12" s="137"/>
      <c r="G12" s="136"/>
      <c r="H12" s="136"/>
      <c r="I12" s="136"/>
      <c r="J12" s="136"/>
      <c r="K12" s="136"/>
      <c r="L12" s="136"/>
      <c r="M12" s="136"/>
      <c r="N12" s="138"/>
      <c r="O12" s="136"/>
      <c r="P12" s="136"/>
      <c r="Q12" s="125" t="str">
        <f aca="false">IF(AND(A12&lt;&gt;"",L12="Open"),COUNTIF($L$2:L12,"Open"),"")</f>
        <v/>
      </c>
    </row>
    <row r="13" customFormat="false" ht="15" hidden="false" customHeight="false" outlineLevel="0" collapsed="false">
      <c r="A13" s="136"/>
      <c r="B13" s="136"/>
      <c r="C13" s="136"/>
      <c r="D13" s="136"/>
      <c r="E13" s="136"/>
      <c r="F13" s="137"/>
      <c r="G13" s="136"/>
      <c r="H13" s="136"/>
      <c r="I13" s="136"/>
      <c r="J13" s="136"/>
      <c r="K13" s="136"/>
      <c r="L13" s="136"/>
      <c r="M13" s="136"/>
      <c r="N13" s="138"/>
      <c r="O13" s="136"/>
      <c r="P13" s="136"/>
      <c r="Q13" s="125" t="str">
        <f aca="false">IF(AND(A13&lt;&gt;"",L13="Open"),COUNTIF($L$2:L13,"Open"),"")</f>
        <v/>
      </c>
    </row>
    <row r="14" customFormat="false" ht="15" hidden="false" customHeight="false" outlineLevel="0" collapsed="false">
      <c r="A14" s="136"/>
      <c r="B14" s="136"/>
      <c r="C14" s="136"/>
      <c r="D14" s="136"/>
      <c r="E14" s="136"/>
      <c r="F14" s="137"/>
      <c r="G14" s="136"/>
      <c r="H14" s="136"/>
      <c r="I14" s="136"/>
      <c r="J14" s="136"/>
      <c r="K14" s="136"/>
      <c r="L14" s="136"/>
      <c r="M14" s="136"/>
      <c r="N14" s="138"/>
      <c r="O14" s="136"/>
      <c r="P14" s="136"/>
      <c r="Q14" s="125" t="str">
        <f aca="false">IF(AND(A14&lt;&gt;"",L14="Open"),COUNTIF($L$2:L14,"Open"),"")</f>
        <v/>
      </c>
    </row>
    <row r="15" customFormat="false" ht="15" hidden="false" customHeight="false" outlineLevel="0" collapsed="false">
      <c r="A15" s="136"/>
      <c r="B15" s="136"/>
      <c r="C15" s="136"/>
      <c r="D15" s="136"/>
      <c r="E15" s="136"/>
      <c r="F15" s="137"/>
      <c r="G15" s="136"/>
      <c r="H15" s="136"/>
      <c r="I15" s="136"/>
      <c r="J15" s="136"/>
      <c r="K15" s="136"/>
      <c r="L15" s="136"/>
      <c r="M15" s="136"/>
      <c r="N15" s="138"/>
      <c r="O15" s="136"/>
      <c r="P15" s="136"/>
      <c r="Q15" s="125" t="str">
        <f aca="false">IF(AND(A15&lt;&gt;"",L15="Open"),COUNTIF($L$2:L15,"Open"),"")</f>
        <v/>
      </c>
    </row>
    <row r="16" customFormat="false" ht="15" hidden="false" customHeight="false" outlineLevel="0" collapsed="false">
      <c r="A16" s="136"/>
      <c r="B16" s="136"/>
      <c r="C16" s="136"/>
      <c r="D16" s="136"/>
      <c r="E16" s="136"/>
      <c r="F16" s="137"/>
      <c r="G16" s="136"/>
      <c r="H16" s="136"/>
      <c r="I16" s="136"/>
      <c r="J16" s="136"/>
      <c r="K16" s="136"/>
      <c r="L16" s="136"/>
      <c r="M16" s="136"/>
      <c r="N16" s="138"/>
      <c r="O16" s="136"/>
      <c r="P16" s="136"/>
      <c r="Q16" s="125" t="str">
        <f aca="false">IF(AND(A16&lt;&gt;"",L16="Open"),COUNTIF($L$2:L16,"Open"),"")</f>
        <v/>
      </c>
    </row>
    <row r="17" customFormat="false" ht="15" hidden="false" customHeight="false" outlineLevel="0" collapsed="false">
      <c r="A17" s="136"/>
      <c r="B17" s="136"/>
      <c r="C17" s="136"/>
      <c r="D17" s="136"/>
      <c r="E17" s="136"/>
      <c r="F17" s="137"/>
      <c r="G17" s="136"/>
      <c r="H17" s="136"/>
      <c r="I17" s="136"/>
      <c r="J17" s="136"/>
      <c r="K17" s="136"/>
      <c r="L17" s="136"/>
      <c r="M17" s="136"/>
      <c r="N17" s="138"/>
      <c r="O17" s="136"/>
      <c r="P17" s="136"/>
      <c r="Q17" s="125" t="str">
        <f aca="false">IF(AND(A17&lt;&gt;"",L17="Open"),COUNTIF($L$2:L17,"Open"),"")</f>
        <v/>
      </c>
    </row>
    <row r="18" customFormat="false" ht="15" hidden="false" customHeight="false" outlineLevel="0" collapsed="false">
      <c r="A18" s="136"/>
      <c r="B18" s="136"/>
      <c r="C18" s="136"/>
      <c r="D18" s="136"/>
      <c r="E18" s="136"/>
      <c r="F18" s="137"/>
      <c r="G18" s="136"/>
      <c r="H18" s="136"/>
      <c r="I18" s="136"/>
      <c r="J18" s="136"/>
      <c r="K18" s="136"/>
      <c r="L18" s="136"/>
      <c r="M18" s="136"/>
      <c r="N18" s="138"/>
      <c r="O18" s="136"/>
      <c r="P18" s="136"/>
      <c r="Q18" s="125" t="str">
        <f aca="false">IF(AND(A18&lt;&gt;"",L18="Open"),COUNTIF($L$2:L18,"Open"),"")</f>
        <v/>
      </c>
    </row>
    <row r="19" customFormat="false" ht="15" hidden="false" customHeight="false" outlineLevel="0" collapsed="false">
      <c r="A19" s="136"/>
      <c r="B19" s="136"/>
      <c r="C19" s="136"/>
      <c r="D19" s="136"/>
      <c r="E19" s="136"/>
      <c r="F19" s="137"/>
      <c r="G19" s="136"/>
      <c r="H19" s="136"/>
      <c r="I19" s="136"/>
      <c r="J19" s="136"/>
      <c r="K19" s="136"/>
      <c r="L19" s="136"/>
      <c r="M19" s="136"/>
      <c r="N19" s="138"/>
      <c r="O19" s="136"/>
      <c r="P19" s="136"/>
      <c r="Q19" s="125" t="str">
        <f aca="false">IF(AND(A19&lt;&gt;"",L19="Open"),COUNTIF($L$2:L19,"Open"),"")</f>
        <v/>
      </c>
    </row>
    <row r="20" customFormat="false" ht="15" hidden="false" customHeight="false" outlineLevel="0" collapsed="false">
      <c r="A20" s="136"/>
      <c r="B20" s="136"/>
      <c r="C20" s="136"/>
      <c r="D20" s="136"/>
      <c r="E20" s="136"/>
      <c r="F20" s="137"/>
      <c r="G20" s="136"/>
      <c r="H20" s="136"/>
      <c r="I20" s="136"/>
      <c r="J20" s="136"/>
      <c r="K20" s="136"/>
      <c r="L20" s="136"/>
      <c r="M20" s="136"/>
      <c r="N20" s="138"/>
      <c r="O20" s="136"/>
      <c r="P20" s="136"/>
      <c r="Q20" s="125" t="str">
        <f aca="false">IF(AND(A20&lt;&gt;"",L20="Open"),COUNTIF($L$2:L20,"Open"),"")</f>
        <v/>
      </c>
    </row>
    <row r="21" customFormat="false" ht="15" hidden="false" customHeight="false" outlineLevel="0" collapsed="false">
      <c r="A21" s="136"/>
      <c r="B21" s="136"/>
      <c r="C21" s="136"/>
      <c r="D21" s="136"/>
      <c r="E21" s="136"/>
      <c r="F21" s="137"/>
      <c r="G21" s="136"/>
      <c r="H21" s="136"/>
      <c r="I21" s="136"/>
      <c r="J21" s="136"/>
      <c r="K21" s="136"/>
      <c r="L21" s="136"/>
      <c r="M21" s="136"/>
      <c r="N21" s="138"/>
      <c r="O21" s="136"/>
      <c r="P21" s="136"/>
      <c r="Q21" s="125" t="str">
        <f aca="false">IF(AND(A21&lt;&gt;"",L21="Open"),COUNTIF($L$2:L21,"Open"),"")</f>
        <v/>
      </c>
    </row>
    <row r="22" customFormat="false" ht="15" hidden="false" customHeight="false" outlineLevel="0" collapsed="false">
      <c r="A22" s="136"/>
      <c r="B22" s="136"/>
      <c r="C22" s="136"/>
      <c r="D22" s="136"/>
      <c r="E22" s="136"/>
      <c r="F22" s="137"/>
      <c r="G22" s="136"/>
      <c r="H22" s="136"/>
      <c r="I22" s="136"/>
      <c r="J22" s="136"/>
      <c r="K22" s="136"/>
      <c r="L22" s="136"/>
      <c r="M22" s="136"/>
      <c r="N22" s="138"/>
      <c r="O22" s="136"/>
      <c r="P22" s="136"/>
      <c r="Q22" s="125" t="str">
        <f aca="false">IF(AND(A22&lt;&gt;"",L22="Open"),COUNTIF($L$2:L22,"Open"),"")</f>
        <v/>
      </c>
    </row>
    <row r="23" customFormat="false" ht="15" hidden="false" customHeight="false" outlineLevel="0" collapsed="false">
      <c r="A23" s="136"/>
      <c r="B23" s="136"/>
      <c r="C23" s="136"/>
      <c r="D23" s="136"/>
      <c r="E23" s="136"/>
      <c r="F23" s="137"/>
      <c r="G23" s="136"/>
      <c r="H23" s="136"/>
      <c r="I23" s="136"/>
      <c r="J23" s="136"/>
      <c r="K23" s="136"/>
      <c r="L23" s="136"/>
      <c r="M23" s="136"/>
      <c r="N23" s="138"/>
      <c r="O23" s="136"/>
      <c r="P23" s="136"/>
      <c r="Q23" s="125" t="str">
        <f aca="false">IF(AND(A23&lt;&gt;"",L23="Open"),COUNTIF($L$2:L23,"Open"),"")</f>
        <v/>
      </c>
    </row>
    <row r="24" customFormat="false" ht="15" hidden="false" customHeight="false" outlineLevel="0" collapsed="false">
      <c r="A24" s="136"/>
      <c r="B24" s="136"/>
      <c r="C24" s="136"/>
      <c r="D24" s="136"/>
      <c r="E24" s="136"/>
      <c r="F24" s="137"/>
      <c r="G24" s="136"/>
      <c r="H24" s="136"/>
      <c r="I24" s="136"/>
      <c r="J24" s="136"/>
      <c r="K24" s="136"/>
      <c r="L24" s="136"/>
      <c r="M24" s="136"/>
      <c r="N24" s="138"/>
      <c r="O24" s="136"/>
      <c r="P24" s="136"/>
      <c r="Q24" s="125" t="str">
        <f aca="false">IF(AND(A24&lt;&gt;"",L24="Open"),COUNTIF($L$2:L24,"Open"),"")</f>
        <v/>
      </c>
    </row>
    <row r="25" customFormat="false" ht="15" hidden="false" customHeight="false" outlineLevel="0" collapsed="false">
      <c r="A25" s="136"/>
      <c r="B25" s="136"/>
      <c r="C25" s="136"/>
      <c r="D25" s="136"/>
      <c r="E25" s="136"/>
      <c r="F25" s="137"/>
      <c r="G25" s="136"/>
      <c r="H25" s="136"/>
      <c r="I25" s="136"/>
      <c r="J25" s="136"/>
      <c r="K25" s="136"/>
      <c r="L25" s="136"/>
      <c r="M25" s="136"/>
      <c r="N25" s="138"/>
      <c r="O25" s="136"/>
      <c r="P25" s="136"/>
      <c r="Q25" s="125" t="str">
        <f aca="false">IF(AND(A25&lt;&gt;"",L25="Open"),COUNTIF($L$2:L25,"Open"),"")</f>
        <v/>
      </c>
    </row>
    <row r="26" customFormat="false" ht="15" hidden="false" customHeight="false" outlineLevel="0" collapsed="false">
      <c r="A26" s="136"/>
      <c r="B26" s="136"/>
      <c r="C26" s="136"/>
      <c r="D26" s="136"/>
      <c r="E26" s="136"/>
      <c r="F26" s="137"/>
      <c r="G26" s="136"/>
      <c r="H26" s="136"/>
      <c r="I26" s="136"/>
      <c r="J26" s="136"/>
      <c r="K26" s="136"/>
      <c r="L26" s="136"/>
      <c r="M26" s="136"/>
      <c r="N26" s="138"/>
      <c r="O26" s="136"/>
      <c r="P26" s="136"/>
      <c r="Q26" s="125" t="str">
        <f aca="false">IF(AND(A26&lt;&gt;"",L26="Open"),COUNTIF($L$2:L26,"Open"),"")</f>
        <v/>
      </c>
    </row>
    <row r="27" customFormat="false" ht="15" hidden="false" customHeight="false" outlineLevel="0" collapsed="false">
      <c r="A27" s="136"/>
      <c r="B27" s="136"/>
      <c r="C27" s="136"/>
      <c r="D27" s="136"/>
      <c r="E27" s="136"/>
      <c r="F27" s="137"/>
      <c r="G27" s="136"/>
      <c r="H27" s="136"/>
      <c r="I27" s="136"/>
      <c r="J27" s="136"/>
      <c r="K27" s="136"/>
      <c r="L27" s="136"/>
      <c r="M27" s="136"/>
      <c r="N27" s="138"/>
      <c r="O27" s="136"/>
      <c r="P27" s="136"/>
      <c r="Q27" s="125" t="str">
        <f aca="false">IF(AND(A27&lt;&gt;"",L27="Open"),COUNTIF($L$2:L27,"Open"),"")</f>
        <v/>
      </c>
    </row>
    <row r="28" customFormat="false" ht="15" hidden="false" customHeight="false" outlineLevel="0" collapsed="false">
      <c r="A28" s="136"/>
      <c r="B28" s="136"/>
      <c r="C28" s="136"/>
      <c r="D28" s="136"/>
      <c r="E28" s="136"/>
      <c r="F28" s="137"/>
      <c r="G28" s="136"/>
      <c r="H28" s="136"/>
      <c r="I28" s="136"/>
      <c r="J28" s="136"/>
      <c r="K28" s="136"/>
      <c r="L28" s="136"/>
      <c r="M28" s="136"/>
      <c r="N28" s="138"/>
      <c r="O28" s="136"/>
      <c r="P28" s="136"/>
      <c r="Q28" s="125" t="str">
        <f aca="false">IF(AND(A28&lt;&gt;"",L28="Open"),COUNTIF($L$2:L28,"Open"),"")</f>
        <v/>
      </c>
    </row>
    <row r="29" customFormat="false" ht="15" hidden="false" customHeight="false" outlineLevel="0" collapsed="false">
      <c r="A29" s="136"/>
      <c r="B29" s="136"/>
      <c r="C29" s="136"/>
      <c r="D29" s="136"/>
      <c r="E29" s="136"/>
      <c r="F29" s="137"/>
      <c r="G29" s="136"/>
      <c r="H29" s="136"/>
      <c r="I29" s="136"/>
      <c r="J29" s="136"/>
      <c r="K29" s="136"/>
      <c r="L29" s="136"/>
      <c r="M29" s="136"/>
      <c r="N29" s="138"/>
      <c r="O29" s="136"/>
      <c r="P29" s="136"/>
      <c r="Q29" s="125" t="str">
        <f aca="false">IF(AND(A29&lt;&gt;"",L29="Open"),COUNTIF($L$2:L29,"Open"),"")</f>
        <v/>
      </c>
    </row>
    <row r="30" customFormat="false" ht="15" hidden="false" customHeight="false" outlineLevel="0" collapsed="false">
      <c r="A30" s="136"/>
      <c r="B30" s="136"/>
      <c r="C30" s="136"/>
      <c r="D30" s="136"/>
      <c r="E30" s="136"/>
      <c r="F30" s="137"/>
      <c r="G30" s="136"/>
      <c r="H30" s="136"/>
      <c r="I30" s="136"/>
      <c r="J30" s="136"/>
      <c r="K30" s="136"/>
      <c r="L30" s="136"/>
      <c r="M30" s="136"/>
      <c r="N30" s="138"/>
      <c r="O30" s="136"/>
      <c r="P30" s="136"/>
      <c r="Q30" s="125" t="str">
        <f aca="false">IF(AND(A30&lt;&gt;"",L30="Open"),COUNTIF($L$2:L30,"Open"),"")</f>
        <v/>
      </c>
    </row>
    <row r="31" customFormat="false" ht="15" hidden="false" customHeight="false" outlineLevel="0" collapsed="false">
      <c r="A31" s="136"/>
      <c r="B31" s="136"/>
      <c r="C31" s="136"/>
      <c r="D31" s="136"/>
      <c r="E31" s="136"/>
      <c r="F31" s="137"/>
      <c r="G31" s="136"/>
      <c r="H31" s="136"/>
      <c r="I31" s="136"/>
      <c r="J31" s="136"/>
      <c r="K31" s="136"/>
      <c r="L31" s="136"/>
      <c r="M31" s="136"/>
      <c r="N31" s="138"/>
      <c r="O31" s="136"/>
      <c r="P31" s="136"/>
      <c r="Q31" s="125" t="str">
        <f aca="false">IF(AND(A31&lt;&gt;"",L31="Open"),COUNTIF($L$2:L31,"Open"),"")</f>
        <v/>
      </c>
    </row>
    <row r="32" customFormat="false" ht="15" hidden="false" customHeight="false" outlineLevel="0" collapsed="false">
      <c r="A32" s="136"/>
      <c r="B32" s="136"/>
      <c r="C32" s="136"/>
      <c r="D32" s="136"/>
      <c r="E32" s="136"/>
      <c r="F32" s="137"/>
      <c r="G32" s="136"/>
      <c r="H32" s="136"/>
      <c r="I32" s="136"/>
      <c r="J32" s="136"/>
      <c r="K32" s="136"/>
      <c r="L32" s="136"/>
      <c r="M32" s="136"/>
      <c r="N32" s="138"/>
      <c r="O32" s="136"/>
      <c r="P32" s="136"/>
      <c r="Q32" s="125" t="str">
        <f aca="false">IF(AND(A32&lt;&gt;"",L32="Open"),COUNTIF($L$2:L32,"Open"),"")</f>
        <v/>
      </c>
    </row>
    <row r="33" customFormat="false" ht="15" hidden="false" customHeight="false" outlineLevel="0" collapsed="false">
      <c r="A33" s="136"/>
      <c r="B33" s="136"/>
      <c r="C33" s="136"/>
      <c r="D33" s="136"/>
      <c r="E33" s="136"/>
      <c r="F33" s="137"/>
      <c r="G33" s="136"/>
      <c r="H33" s="136"/>
      <c r="I33" s="136"/>
      <c r="J33" s="136"/>
      <c r="K33" s="136"/>
      <c r="L33" s="136"/>
      <c r="M33" s="136"/>
      <c r="N33" s="138"/>
      <c r="O33" s="136"/>
      <c r="P33" s="136"/>
      <c r="Q33" s="125" t="str">
        <f aca="false">IF(AND(A33&lt;&gt;"",L33="Open"),COUNTIF($L$2:L33,"Open"),"")</f>
        <v/>
      </c>
    </row>
    <row r="34" customFormat="false" ht="15" hidden="false" customHeight="false" outlineLevel="0" collapsed="false">
      <c r="A34" s="136"/>
      <c r="B34" s="136"/>
      <c r="C34" s="136"/>
      <c r="D34" s="136"/>
      <c r="E34" s="136"/>
      <c r="F34" s="137"/>
      <c r="G34" s="136"/>
      <c r="H34" s="136"/>
      <c r="I34" s="136"/>
      <c r="J34" s="136"/>
      <c r="K34" s="136"/>
      <c r="L34" s="136"/>
      <c r="M34" s="136"/>
      <c r="N34" s="138"/>
      <c r="O34" s="136"/>
      <c r="P34" s="136"/>
      <c r="Q34" s="125" t="str">
        <f aca="false">IF(AND(A34&lt;&gt;"",L34="Open"),COUNTIF($L$2:L34,"Open"),"")</f>
        <v/>
      </c>
    </row>
    <row r="35" customFormat="false" ht="15" hidden="false" customHeight="false" outlineLevel="0" collapsed="false">
      <c r="A35" s="136"/>
      <c r="B35" s="136"/>
      <c r="C35" s="136"/>
      <c r="D35" s="136"/>
      <c r="E35" s="136"/>
      <c r="F35" s="137"/>
      <c r="G35" s="136"/>
      <c r="H35" s="136"/>
      <c r="I35" s="136"/>
      <c r="J35" s="136"/>
      <c r="K35" s="136"/>
      <c r="L35" s="136"/>
      <c r="M35" s="136"/>
      <c r="N35" s="138"/>
      <c r="O35" s="136"/>
      <c r="P35" s="136"/>
      <c r="Q35" s="125" t="str">
        <f aca="false">IF(AND(A35&lt;&gt;"",L35="Open"),COUNTIF($L$2:L35,"Open"),"")</f>
        <v/>
      </c>
    </row>
    <row r="36" customFormat="false" ht="15" hidden="false" customHeight="false" outlineLevel="0" collapsed="false">
      <c r="A36" s="136"/>
      <c r="B36" s="136"/>
      <c r="C36" s="136"/>
      <c r="D36" s="136"/>
      <c r="E36" s="136"/>
      <c r="F36" s="137"/>
      <c r="G36" s="136"/>
      <c r="H36" s="136"/>
      <c r="I36" s="136"/>
      <c r="J36" s="136"/>
      <c r="K36" s="136"/>
      <c r="L36" s="136"/>
      <c r="M36" s="136"/>
      <c r="N36" s="138"/>
      <c r="O36" s="136"/>
      <c r="P36" s="136"/>
      <c r="Q36" s="125" t="str">
        <f aca="false">IF(AND(A36&lt;&gt;"",L36="Open"),COUNTIF($L$2:L36,"Open"),"")</f>
        <v/>
      </c>
    </row>
    <row r="37" customFormat="false" ht="15" hidden="false" customHeight="false" outlineLevel="0" collapsed="false">
      <c r="A37" s="136"/>
      <c r="B37" s="136"/>
      <c r="C37" s="136"/>
      <c r="D37" s="136"/>
      <c r="E37" s="136"/>
      <c r="F37" s="137"/>
      <c r="G37" s="136"/>
      <c r="H37" s="136"/>
      <c r="I37" s="136"/>
      <c r="J37" s="136"/>
      <c r="K37" s="136"/>
      <c r="L37" s="136"/>
      <c r="M37" s="136"/>
      <c r="N37" s="138"/>
      <c r="O37" s="136"/>
      <c r="P37" s="136"/>
      <c r="Q37" s="125" t="str">
        <f aca="false">IF(AND(A37&lt;&gt;"",L37="Open"),COUNTIF($L$2:L37,"Open"),"")</f>
        <v/>
      </c>
    </row>
    <row r="38" customFormat="false" ht="15" hidden="false" customHeight="false" outlineLevel="0" collapsed="false">
      <c r="A38" s="136"/>
      <c r="B38" s="136"/>
      <c r="C38" s="136"/>
      <c r="D38" s="136"/>
      <c r="E38" s="136"/>
      <c r="F38" s="137"/>
      <c r="G38" s="136"/>
      <c r="H38" s="136"/>
      <c r="I38" s="136"/>
      <c r="J38" s="136"/>
      <c r="K38" s="136"/>
      <c r="L38" s="136"/>
      <c r="M38" s="136"/>
      <c r="N38" s="138"/>
      <c r="O38" s="136"/>
      <c r="P38" s="136"/>
      <c r="Q38" s="125" t="str">
        <f aca="false">IF(AND(A38&lt;&gt;"",L38="Open"),COUNTIF($L$2:L38,"Open"),"")</f>
        <v/>
      </c>
    </row>
    <row r="39" customFormat="false" ht="15" hidden="false" customHeight="false" outlineLevel="0" collapsed="false">
      <c r="A39" s="136"/>
      <c r="B39" s="136"/>
      <c r="C39" s="136"/>
      <c r="D39" s="136"/>
      <c r="E39" s="136"/>
      <c r="F39" s="137"/>
      <c r="G39" s="136"/>
      <c r="H39" s="136"/>
      <c r="I39" s="136"/>
      <c r="J39" s="136"/>
      <c r="K39" s="136"/>
      <c r="L39" s="136"/>
      <c r="M39" s="136"/>
      <c r="N39" s="138"/>
      <c r="O39" s="136"/>
      <c r="P39" s="136"/>
      <c r="Q39" s="125" t="str">
        <f aca="false">IF(AND(A39&lt;&gt;"",L39="Open"),COUNTIF($L$2:L39,"Open"),"")</f>
        <v/>
      </c>
    </row>
    <row r="40" customFormat="false" ht="15" hidden="false" customHeight="false" outlineLevel="0" collapsed="false">
      <c r="A40" s="136"/>
      <c r="B40" s="136"/>
      <c r="C40" s="136"/>
      <c r="D40" s="136"/>
      <c r="E40" s="136"/>
      <c r="F40" s="137"/>
      <c r="G40" s="136"/>
      <c r="H40" s="136"/>
      <c r="I40" s="136"/>
      <c r="J40" s="136"/>
      <c r="K40" s="136"/>
      <c r="L40" s="136"/>
      <c r="M40" s="136"/>
      <c r="N40" s="138"/>
      <c r="O40" s="136"/>
      <c r="P40" s="136"/>
      <c r="Q40" s="125" t="str">
        <f aca="false">IF(AND(A40&lt;&gt;"",L40="Open"),COUNTIF($L$2:L40,"Open"),"")</f>
        <v/>
      </c>
    </row>
    <row r="41" customFormat="false" ht="15" hidden="false" customHeight="false" outlineLevel="0" collapsed="false">
      <c r="A41" s="136"/>
      <c r="B41" s="136"/>
      <c r="C41" s="136"/>
      <c r="D41" s="136"/>
      <c r="E41" s="136"/>
      <c r="F41" s="137"/>
      <c r="G41" s="136"/>
      <c r="H41" s="136"/>
      <c r="I41" s="136"/>
      <c r="J41" s="136"/>
      <c r="K41" s="136"/>
      <c r="L41" s="136"/>
      <c r="M41" s="136"/>
      <c r="N41" s="138"/>
      <c r="O41" s="136"/>
      <c r="P41" s="136"/>
      <c r="Q41" s="125" t="str">
        <f aca="false">IF(AND(A41&lt;&gt;"",L41="Open"),COUNTIF($L$2:L41,"Open"),"")</f>
        <v/>
      </c>
    </row>
    <row r="42" customFormat="false" ht="15" hidden="false" customHeight="false" outlineLevel="0" collapsed="false">
      <c r="A42" s="136"/>
      <c r="B42" s="136"/>
      <c r="C42" s="136"/>
      <c r="D42" s="136"/>
      <c r="E42" s="136"/>
      <c r="F42" s="137"/>
      <c r="G42" s="136"/>
      <c r="H42" s="136"/>
      <c r="I42" s="136"/>
      <c r="J42" s="136"/>
      <c r="K42" s="136"/>
      <c r="L42" s="136"/>
      <c r="M42" s="136"/>
      <c r="N42" s="138"/>
      <c r="O42" s="136"/>
      <c r="P42" s="136"/>
      <c r="Q42" s="125" t="str">
        <f aca="false">IF(AND(A42&lt;&gt;"",L42="Open"),COUNTIF($L$2:L42,"Open"),"")</f>
        <v/>
      </c>
    </row>
    <row r="43" customFormat="false" ht="15" hidden="false" customHeight="false" outlineLevel="0" collapsed="false">
      <c r="A43" s="136"/>
      <c r="B43" s="136"/>
      <c r="C43" s="136"/>
      <c r="D43" s="136"/>
      <c r="E43" s="136"/>
      <c r="F43" s="137"/>
      <c r="G43" s="136"/>
      <c r="H43" s="136"/>
      <c r="I43" s="136"/>
      <c r="J43" s="136"/>
      <c r="K43" s="136"/>
      <c r="L43" s="136"/>
      <c r="M43" s="136"/>
      <c r="N43" s="138"/>
      <c r="O43" s="136"/>
      <c r="P43" s="136"/>
      <c r="Q43" s="125" t="str">
        <f aca="false">IF(AND(A43&lt;&gt;"",L43="Open"),COUNTIF($L$2:L43,"Open"),"")</f>
        <v/>
      </c>
    </row>
    <row r="44" customFormat="false" ht="15" hidden="false" customHeight="false" outlineLevel="0" collapsed="false">
      <c r="A44" s="136"/>
      <c r="B44" s="136"/>
      <c r="C44" s="136"/>
      <c r="D44" s="136"/>
      <c r="E44" s="136"/>
      <c r="F44" s="137"/>
      <c r="G44" s="136"/>
      <c r="H44" s="136"/>
      <c r="I44" s="136"/>
      <c r="J44" s="136"/>
      <c r="K44" s="136"/>
      <c r="L44" s="136"/>
      <c r="M44" s="136"/>
      <c r="N44" s="138"/>
      <c r="O44" s="136"/>
      <c r="P44" s="136"/>
      <c r="Q44" s="125" t="str">
        <f aca="false">IF(AND(A44&lt;&gt;"",L44="Open"),COUNTIF($L$2:L44,"Open"),"")</f>
        <v/>
      </c>
    </row>
    <row r="45" customFormat="false" ht="15" hidden="false" customHeight="false" outlineLevel="0" collapsed="false">
      <c r="A45" s="136"/>
      <c r="B45" s="136"/>
      <c r="C45" s="136"/>
      <c r="D45" s="136"/>
      <c r="E45" s="136"/>
      <c r="F45" s="137"/>
      <c r="G45" s="136"/>
      <c r="H45" s="136"/>
      <c r="I45" s="136"/>
      <c r="J45" s="136"/>
      <c r="K45" s="136"/>
      <c r="L45" s="136"/>
      <c r="M45" s="136"/>
      <c r="N45" s="138"/>
      <c r="O45" s="136"/>
      <c r="P45" s="136"/>
      <c r="Q45" s="125" t="str">
        <f aca="false">IF(AND(A45&lt;&gt;"",L45="Open"),COUNTIF($L$2:L45,"Open"),"")</f>
        <v/>
      </c>
    </row>
    <row r="46" customFormat="false" ht="15" hidden="false" customHeight="false" outlineLevel="0" collapsed="false">
      <c r="A46" s="136"/>
      <c r="B46" s="136"/>
      <c r="C46" s="136"/>
      <c r="D46" s="136"/>
      <c r="E46" s="136"/>
      <c r="F46" s="137"/>
      <c r="G46" s="136"/>
      <c r="H46" s="136"/>
      <c r="I46" s="136"/>
      <c r="J46" s="136"/>
      <c r="K46" s="136"/>
      <c r="L46" s="136"/>
      <c r="M46" s="136"/>
      <c r="N46" s="138"/>
      <c r="O46" s="136"/>
      <c r="P46" s="136"/>
      <c r="Q46" s="125" t="str">
        <f aca="false">IF(AND(A46&lt;&gt;"",L46="Open"),COUNTIF($L$2:L46,"Open"),"")</f>
        <v/>
      </c>
    </row>
    <row r="47" customFormat="false" ht="15" hidden="false" customHeight="false" outlineLevel="0" collapsed="false">
      <c r="A47" s="136"/>
      <c r="B47" s="136"/>
      <c r="C47" s="136"/>
      <c r="D47" s="136"/>
      <c r="E47" s="136"/>
      <c r="F47" s="137"/>
      <c r="G47" s="136"/>
      <c r="H47" s="136"/>
      <c r="I47" s="136"/>
      <c r="J47" s="136"/>
      <c r="K47" s="136"/>
      <c r="L47" s="136"/>
      <c r="M47" s="136"/>
      <c r="N47" s="138"/>
      <c r="O47" s="136"/>
      <c r="P47" s="136"/>
      <c r="Q47" s="125" t="str">
        <f aca="false">IF(AND(A47&lt;&gt;"",L47="Open"),COUNTIF($L$2:L47,"Open"),"")</f>
        <v/>
      </c>
    </row>
    <row r="48" customFormat="false" ht="15" hidden="false" customHeight="false" outlineLevel="0" collapsed="false">
      <c r="A48" s="136"/>
      <c r="B48" s="136"/>
      <c r="C48" s="136"/>
      <c r="D48" s="136"/>
      <c r="E48" s="136"/>
      <c r="F48" s="137"/>
      <c r="G48" s="136"/>
      <c r="H48" s="136"/>
      <c r="I48" s="136"/>
      <c r="J48" s="136"/>
      <c r="K48" s="136"/>
      <c r="L48" s="136"/>
      <c r="M48" s="136"/>
      <c r="N48" s="138"/>
      <c r="O48" s="136"/>
      <c r="P48" s="136"/>
      <c r="Q48" s="125" t="str">
        <f aca="false">IF(AND(A48&lt;&gt;"",L48="Open"),COUNTIF($L$2:L48,"Open"),"")</f>
        <v/>
      </c>
    </row>
    <row r="49" customFormat="false" ht="15" hidden="false" customHeight="false" outlineLevel="0" collapsed="false">
      <c r="A49" s="136"/>
      <c r="B49" s="136"/>
      <c r="C49" s="136"/>
      <c r="D49" s="136"/>
      <c r="E49" s="136"/>
      <c r="F49" s="137"/>
      <c r="G49" s="136"/>
      <c r="H49" s="136"/>
      <c r="I49" s="136"/>
      <c r="J49" s="136"/>
      <c r="K49" s="136"/>
      <c r="L49" s="136"/>
      <c r="M49" s="136"/>
      <c r="N49" s="138"/>
      <c r="O49" s="136"/>
      <c r="P49" s="136"/>
      <c r="Q49" s="125" t="str">
        <f aca="false">IF(AND(A49&lt;&gt;"",L49="Open"),COUNTIF($L$2:L49,"Open"),"")</f>
        <v/>
      </c>
    </row>
    <row r="50" customFormat="false" ht="15" hidden="false" customHeight="false" outlineLevel="0" collapsed="false">
      <c r="A50" s="136"/>
      <c r="B50" s="136"/>
      <c r="C50" s="136"/>
      <c r="D50" s="136"/>
      <c r="E50" s="136"/>
      <c r="F50" s="137"/>
      <c r="G50" s="136"/>
      <c r="H50" s="136"/>
      <c r="I50" s="136"/>
      <c r="J50" s="136"/>
      <c r="K50" s="136"/>
      <c r="L50" s="136"/>
      <c r="M50" s="136"/>
      <c r="N50" s="138"/>
      <c r="O50" s="136"/>
      <c r="P50" s="136"/>
      <c r="Q50" s="125" t="str">
        <f aca="false">IF(AND(A50&lt;&gt;"",L50="Open"),COUNTIF($L$2:L50,"Open"),"")</f>
        <v/>
      </c>
    </row>
    <row r="51" customFormat="false" ht="15" hidden="false" customHeight="false" outlineLevel="0" collapsed="false">
      <c r="A51" s="136"/>
      <c r="B51" s="136"/>
      <c r="C51" s="136"/>
      <c r="D51" s="136"/>
      <c r="E51" s="136"/>
      <c r="F51" s="137"/>
      <c r="G51" s="136"/>
      <c r="H51" s="136"/>
      <c r="I51" s="136"/>
      <c r="J51" s="136"/>
      <c r="K51" s="136"/>
      <c r="L51" s="136"/>
      <c r="M51" s="136"/>
      <c r="N51" s="138"/>
      <c r="O51" s="136"/>
      <c r="P51" s="136"/>
      <c r="Q51" s="125" t="str">
        <f aca="false">IF(AND(A51&lt;&gt;"",L51="Open"),COUNTIF($L$2:L51,"Open"),"")</f>
        <v/>
      </c>
    </row>
  </sheetData>
  <conditionalFormatting sqref="L2:L51">
    <cfRule type="cellIs" priority="2" operator="equal" aboveAverage="0" equalAverage="0" bottom="0" percent="0" rank="0" text="" dxfId="25">
      <formula>"Open"</formula>
    </cfRule>
    <cfRule type="cellIs" priority="3" operator="equal" aboveAverage="0" equalAverage="0" bottom="0" percent="0" rank="0" text="" dxfId="23">
      <formula>"On Hold"</formula>
    </cfRule>
    <cfRule type="cellIs" priority="4" operator="equal" aboveAverage="0" equalAverage="0" bottom="0" percent="0" rank="0" text="" dxfId="31">
      <formula>"Closed"</formula>
    </cfRule>
  </conditionalFormatting>
  <conditionalFormatting sqref="P2:P51">
    <cfRule type="cellIs" priority="5" operator="equal" aboveAverage="0" equalAverage="0" bottom="0" percent="0" rank="0" text="" dxfId="29">
      <formula>"High"</formula>
    </cfRule>
  </conditionalFormatting>
  <dataValidations count="2">
    <dataValidation allowBlank="true" errorStyle="stop" operator="between" showDropDown="false" showErrorMessage="true" showInputMessage="false" sqref="L2:L51" type="list">
      <formula1>Lists!$I$2:$I$4</formula1>
      <formula2>0</formula2>
    </dataValidation>
    <dataValidation allowBlank="true" errorStyle="stop" operator="between" showDropDown="false" showErrorMessage="true" showInputMessage="false" sqref="P2:P51" type="list">
      <formula1>Lists!$J$2:$J$4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22"/>
    <col collapsed="false" customWidth="true" hidden="false" outlineLevel="0" max="5" min="5" style="0" width="40"/>
    <col collapsed="false" customWidth="true" hidden="false" outlineLevel="0" max="7" min="6" style="0" width="18"/>
    <col collapsed="false" customWidth="true" hidden="false" outlineLevel="0" max="9" min="9" style="0" width="70"/>
  </cols>
  <sheetData>
    <row r="1" customFormat="false" ht="15" hidden="false" customHeight="false" outlineLevel="0" collapsed="false">
      <c r="A1" s="95" t="s">
        <v>580</v>
      </c>
      <c r="B1" s="95" t="s">
        <v>238</v>
      </c>
      <c r="C1" s="95" t="s">
        <v>199</v>
      </c>
      <c r="D1" s="95" t="s">
        <v>581</v>
      </c>
      <c r="E1" s="95" t="s">
        <v>582</v>
      </c>
      <c r="F1" s="95" t="s">
        <v>250</v>
      </c>
      <c r="G1" s="95" t="s">
        <v>583</v>
      </c>
      <c r="I1" s="139" t="s">
        <v>584</v>
      </c>
    </row>
    <row r="2" customFormat="false" ht="15" hidden="false" customHeight="false" outlineLevel="0" collapsed="false">
      <c r="A2" s="97" t="n">
        <v>46293</v>
      </c>
      <c r="B2" s="96" t="s">
        <v>258</v>
      </c>
      <c r="C2" s="96" t="s">
        <v>259</v>
      </c>
      <c r="D2" s="96" t="s">
        <v>268</v>
      </c>
      <c r="E2" s="96" t="s">
        <v>585</v>
      </c>
      <c r="F2" s="97" t="n">
        <v>46361</v>
      </c>
      <c r="G2" s="97" t="n">
        <v>46285</v>
      </c>
    </row>
    <row r="3" customFormat="false" ht="15" hidden="false" customHeight="false" outlineLevel="0" collapsed="false">
      <c r="A3" s="97" t="n">
        <v>46293</v>
      </c>
      <c r="B3" s="96" t="s">
        <v>283</v>
      </c>
      <c r="C3" s="96" t="s">
        <v>284</v>
      </c>
      <c r="D3" s="96" t="s">
        <v>268</v>
      </c>
      <c r="E3" s="96" t="s">
        <v>585</v>
      </c>
      <c r="F3" s="97" t="n">
        <v>46387</v>
      </c>
      <c r="G3" s="97" t="n">
        <v>46285</v>
      </c>
    </row>
    <row r="4" customFormat="false" ht="15" hidden="false" customHeight="false" outlineLevel="0" collapsed="false">
      <c r="A4" s="97" t="n">
        <v>46285</v>
      </c>
      <c r="B4" s="96" t="s">
        <v>290</v>
      </c>
      <c r="C4" s="96" t="s">
        <v>291</v>
      </c>
      <c r="D4" s="96" t="s">
        <v>297</v>
      </c>
      <c r="E4" s="96" t="s">
        <v>585</v>
      </c>
      <c r="F4" s="97" t="n">
        <v>46386</v>
      </c>
      <c r="G4" s="97" t="n">
        <v>46285</v>
      </c>
    </row>
    <row r="5" customFormat="false" ht="15" hidden="false" customHeight="false" outlineLevel="0" collapsed="false">
      <c r="A5" s="97" t="n">
        <v>46289</v>
      </c>
      <c r="B5" s="96" t="s">
        <v>303</v>
      </c>
      <c r="C5" s="96" t="s">
        <v>304</v>
      </c>
      <c r="D5" s="96" t="s">
        <v>268</v>
      </c>
      <c r="E5" s="96" t="s">
        <v>585</v>
      </c>
      <c r="F5" s="97" t="n">
        <v>46311</v>
      </c>
      <c r="G5" s="97" t="n">
        <v>46285</v>
      </c>
    </row>
    <row r="6" customFormat="false" ht="15" hidden="false" customHeight="false" outlineLevel="0" collapsed="false">
      <c r="A6" s="97" t="n">
        <v>46285</v>
      </c>
      <c r="B6" s="96" t="s">
        <v>318</v>
      </c>
      <c r="C6" s="96" t="s">
        <v>319</v>
      </c>
      <c r="D6" s="96" t="s">
        <v>268</v>
      </c>
      <c r="E6" s="96" t="s">
        <v>585</v>
      </c>
      <c r="F6" s="97" t="n">
        <v>46371</v>
      </c>
      <c r="G6" s="97" t="n">
        <v>46285</v>
      </c>
    </row>
  </sheetData>
  <sheetProtection sheet="true" password="ec7c"/>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L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2"/>
    <col collapsed="false" customWidth="true" hidden="false" outlineLevel="0" max="5" min="4"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s>
  <sheetData>
    <row r="1" customFormat="false" ht="23.85" hidden="false" customHeight="false" outlineLevel="0" collapsed="false">
      <c r="A1" s="95" t="s">
        <v>238</v>
      </c>
      <c r="B1" s="95" t="s">
        <v>586</v>
      </c>
      <c r="C1" s="95" t="s">
        <v>587</v>
      </c>
      <c r="D1" s="95" t="s">
        <v>588</v>
      </c>
      <c r="E1" s="95" t="s">
        <v>589</v>
      </c>
      <c r="F1" s="95" t="s">
        <v>590</v>
      </c>
      <c r="G1" s="95" t="s">
        <v>591</v>
      </c>
      <c r="H1" s="95" t="s">
        <v>592</v>
      </c>
      <c r="I1" s="95" t="s">
        <v>593</v>
      </c>
      <c r="J1" s="95" t="s">
        <v>594</v>
      </c>
      <c r="L1" s="94" t="s">
        <v>595</v>
      </c>
    </row>
    <row r="2" customFormat="false" ht="15" hidden="false" customHeight="false" outlineLevel="0" collapsed="false">
      <c r="A2" s="140" t="str">
        <f aca="false">IF(Candidates!A2="","",Candidates!A2)</f>
        <v>CAN-2026-00001</v>
      </c>
      <c r="B2" s="140" t="n">
        <f aca="false">IF(Candidates!A2="","",IF(AND(Candidates!M2&lt;&gt;"Hired",Candidates!N2&lt;&gt;"Do Not Contact",Candidates!Q2="Yes"),1,0))</f>
        <v>0</v>
      </c>
      <c r="C2" s="140" t="str">
        <f aca="false">IF($B2&lt;&gt;1,"",IF('Find Candidates'!$B$11=0,0,SUMPRODUCT(('Find Candidates'!$B$10:$F$10&lt;&gt;"")*ISNUMBER(SEARCH('Find Candidates'!$B$10:$F$10,Candidates!G2)))/'Find Candidates'!$B$11))</f>
        <v/>
      </c>
      <c r="D2" s="140" t="str">
        <f aca="false">IF($B2&lt;&gt;1,"",IF(N('Find Candidates'!$B$7)=0,1,MIN(1,Candidates!H2/'Find Candidates'!$B$7)))</f>
        <v/>
      </c>
      <c r="E2" s="140" t="str">
        <f aca="false">IF($B2&lt;&gt;1,"",IF(Candidates!F2='Find Candidates'!$B$6,1,0))</f>
        <v/>
      </c>
      <c r="F2" s="140" t="str">
        <f aca="false">IF($B2&lt;&gt;1,"",IF(Candidates!J2='Find Candidates'!$B$8,1,0))</f>
        <v/>
      </c>
      <c r="G2" s="140" t="str">
        <f aca="false">IF($B2&lt;&gt;1,"",IF(Candidates!K2&lt;=30,1,IF(Candidates!K2&lt;=60,0.5,0)))</f>
        <v/>
      </c>
      <c r="H2" s="140" t="str">
        <f aca="false">IF($B2&lt;&gt;1,"",IF(Candidates!I2&lt;='Find Candidates'!$B$9,1,0))</f>
        <v/>
      </c>
      <c r="I2" s="140" t="n">
        <f aca="false">IF($B2=1,C2*'Find Candidates'!$B$15+D2*'Find Candidates'!$B$16+E2*'Find Candidates'!$B$17+F2*'Find Candidates'!$B$18+G2*'Find Candidates'!$B$19+H2*'Find Candidates'!$B$20,0)</f>
        <v>0</v>
      </c>
      <c r="J2" s="140" t="str">
        <f aca="false">IF(AND($B2=1,I2&gt;0),I2-ROW()/10^8,"")</f>
        <v/>
      </c>
    </row>
    <row r="3" customFormat="false" ht="15" hidden="false" customHeight="false" outlineLevel="0" collapsed="false">
      <c r="A3" s="140" t="str">
        <f aca="false">IF(Candidates!A3="","",Candidates!A3)</f>
        <v>CAN-2026-00002</v>
      </c>
      <c r="B3" s="140" t="n">
        <f aca="false">IF(Candidates!A3="","",IF(AND(Candidates!M3&lt;&gt;"Hired",Candidates!N3&lt;&gt;"Do Not Contact",Candidates!Q3="Yes"),1,0))</f>
        <v>0</v>
      </c>
      <c r="C3" s="140" t="str">
        <f aca="false">IF($B3&lt;&gt;1,"",IF('Find Candidates'!$B$11=0,0,SUMPRODUCT(('Find Candidates'!$B$10:$F$10&lt;&gt;"")*ISNUMBER(SEARCH('Find Candidates'!$B$10:$F$10,Candidates!G3)))/'Find Candidates'!$B$11))</f>
        <v/>
      </c>
      <c r="D3" s="140" t="str">
        <f aca="false">IF($B3&lt;&gt;1,"",IF(N('Find Candidates'!$B$7)=0,1,MIN(1,Candidates!H3/'Find Candidates'!$B$7)))</f>
        <v/>
      </c>
      <c r="E3" s="140" t="str">
        <f aca="false">IF($B3&lt;&gt;1,"",IF(Candidates!F3='Find Candidates'!$B$6,1,0))</f>
        <v/>
      </c>
      <c r="F3" s="140" t="str">
        <f aca="false">IF($B3&lt;&gt;1,"",IF(Candidates!J3='Find Candidates'!$B$8,1,0))</f>
        <v/>
      </c>
      <c r="G3" s="140" t="str">
        <f aca="false">IF($B3&lt;&gt;1,"",IF(Candidates!K3&lt;=30,1,IF(Candidates!K3&lt;=60,0.5,0)))</f>
        <v/>
      </c>
      <c r="H3" s="140" t="str">
        <f aca="false">IF($B3&lt;&gt;1,"",IF(Candidates!I3&lt;='Find Candidates'!$B$9,1,0))</f>
        <v/>
      </c>
      <c r="I3" s="140" t="n">
        <f aca="false">IF($B3=1,C3*'Find Candidates'!$B$15+D3*'Find Candidates'!$B$16+E3*'Find Candidates'!$B$17+F3*'Find Candidates'!$B$18+G3*'Find Candidates'!$B$19+H3*'Find Candidates'!$B$20,0)</f>
        <v>0</v>
      </c>
      <c r="J3" s="140" t="str">
        <f aca="false">IF(AND($B3=1,I3&gt;0),I3-ROW()/10^8,"")</f>
        <v/>
      </c>
    </row>
    <row r="4" customFormat="false" ht="15" hidden="false" customHeight="false" outlineLevel="0" collapsed="false">
      <c r="A4" s="140" t="str">
        <f aca="false">IF(Candidates!A4="","",Candidates!A4)</f>
        <v>CAN-2026-00003</v>
      </c>
      <c r="B4" s="140" t="n">
        <f aca="false">IF(Candidates!A4="","",IF(AND(Candidates!M4&lt;&gt;"Hired",Candidates!N4&lt;&gt;"Do Not Contact",Candidates!Q4="Yes"),1,0))</f>
        <v>0</v>
      </c>
      <c r="C4" s="140" t="str">
        <f aca="false">IF($B4&lt;&gt;1,"",IF('Find Candidates'!$B$11=0,0,SUMPRODUCT(('Find Candidates'!$B$10:$F$10&lt;&gt;"")*ISNUMBER(SEARCH('Find Candidates'!$B$10:$F$10,Candidates!G4)))/'Find Candidates'!$B$11))</f>
        <v/>
      </c>
      <c r="D4" s="140" t="str">
        <f aca="false">IF($B4&lt;&gt;1,"",IF(N('Find Candidates'!$B$7)=0,1,MIN(1,Candidates!H4/'Find Candidates'!$B$7)))</f>
        <v/>
      </c>
      <c r="E4" s="140" t="str">
        <f aca="false">IF($B4&lt;&gt;1,"",IF(Candidates!F4='Find Candidates'!$B$6,1,0))</f>
        <v/>
      </c>
      <c r="F4" s="140" t="str">
        <f aca="false">IF($B4&lt;&gt;1,"",IF(Candidates!J4='Find Candidates'!$B$8,1,0))</f>
        <v/>
      </c>
      <c r="G4" s="140" t="str">
        <f aca="false">IF($B4&lt;&gt;1,"",IF(Candidates!K4&lt;=30,1,IF(Candidates!K4&lt;=60,0.5,0)))</f>
        <v/>
      </c>
      <c r="H4" s="140" t="str">
        <f aca="false">IF($B4&lt;&gt;1,"",IF(Candidates!I4&lt;='Find Candidates'!$B$9,1,0))</f>
        <v/>
      </c>
      <c r="I4" s="140" t="n">
        <f aca="false">IF($B4=1,C4*'Find Candidates'!$B$15+D4*'Find Candidates'!$B$16+E4*'Find Candidates'!$B$17+F4*'Find Candidates'!$B$18+G4*'Find Candidates'!$B$19+H4*'Find Candidates'!$B$20,0)</f>
        <v>0</v>
      </c>
      <c r="J4" s="140" t="str">
        <f aca="false">IF(AND($B4=1,I4&gt;0),I4-ROW()/10^8,"")</f>
        <v/>
      </c>
    </row>
    <row r="5" customFormat="false" ht="15" hidden="false" customHeight="false" outlineLevel="0" collapsed="false">
      <c r="A5" s="140" t="str">
        <f aca="false">IF(Candidates!A5="","",Candidates!A5)</f>
        <v>CAN-2026-00004</v>
      </c>
      <c r="B5" s="140" t="n">
        <f aca="false">IF(Candidates!A5="","",IF(AND(Candidates!M5&lt;&gt;"Hired",Candidates!N5&lt;&gt;"Do Not Contact",Candidates!Q5="Yes"),1,0))</f>
        <v>1</v>
      </c>
      <c r="C5" s="140" t="n">
        <f aca="false">IF($B5&lt;&gt;1,"",IF('Find Candidates'!$B$11=0,0,SUMPRODUCT(('Find Candidates'!$B$10:$F$10&lt;&gt;"")*ISNUMBER(SEARCH('Find Candidates'!$B$10:$F$10,Candidates!G5)))/'Find Candidates'!$B$11))</f>
        <v>0</v>
      </c>
      <c r="D5" s="140" t="n">
        <f aca="false">IF($B5&lt;&gt;1,"",IF(N('Find Candidates'!$B$7)=0,1,MIN(1,Candidates!H5/'Find Candidates'!$B$7)))</f>
        <v>0.4</v>
      </c>
      <c r="E5" s="140" t="n">
        <f aca="false">IF($B5&lt;&gt;1,"",IF(Candidates!F5='Find Candidates'!$B$6,1,0))</f>
        <v>0</v>
      </c>
      <c r="F5" s="140" t="n">
        <f aca="false">IF($B5&lt;&gt;1,"",IF(Candidates!J5='Find Candidates'!$B$8,1,0))</f>
        <v>0</v>
      </c>
      <c r="G5" s="140" t="n">
        <f aca="false">IF($B5&lt;&gt;1,"",IF(Candidates!K5&lt;=30,1,IF(Candidates!K5&lt;=60,0.5,0)))</f>
        <v>1</v>
      </c>
      <c r="H5" s="140" t="n">
        <f aca="false">IF($B5&lt;&gt;1,"",IF(Candidates!I5&lt;='Find Candidates'!$B$9,1,0))</f>
        <v>0</v>
      </c>
      <c r="I5" s="140" t="n">
        <f aca="false">IF($B5=1,C5*'Find Candidates'!$B$15+D5*'Find Candidates'!$B$16+E5*'Find Candidates'!$B$17+F5*'Find Candidates'!$B$18+G5*'Find Candidates'!$B$19+H5*'Find Candidates'!$B$20,0)</f>
        <v>15</v>
      </c>
      <c r="J5" s="140" t="n">
        <f aca="false">IF(AND($B5=1,I5&gt;0),I5-ROW()/10^8,"")</f>
        <v>14.99999995</v>
      </c>
    </row>
    <row r="6" customFormat="false" ht="15" hidden="false" customHeight="false" outlineLevel="0" collapsed="false">
      <c r="A6" s="140" t="str">
        <f aca="false">IF(Candidates!A6="","",Candidates!A6)</f>
        <v>CAN-2026-00005</v>
      </c>
      <c r="B6" s="140" t="n">
        <f aca="false">IF(Candidates!A6="","",IF(AND(Candidates!M6&lt;&gt;"Hired",Candidates!N6&lt;&gt;"Do Not Contact",Candidates!Q6="Yes"),1,0))</f>
        <v>1</v>
      </c>
      <c r="C6" s="140" t="n">
        <f aca="false">IF($B6&lt;&gt;1,"",IF('Find Candidates'!$B$11=0,0,SUMPRODUCT(('Find Candidates'!$B$10:$F$10&lt;&gt;"")*ISNUMBER(SEARCH('Find Candidates'!$B$10:$F$10,Candidates!G6)))/'Find Candidates'!$B$11))</f>
        <v>0</v>
      </c>
      <c r="D6" s="140" t="n">
        <f aca="false">IF($B6&lt;&gt;1,"",IF(N('Find Candidates'!$B$7)=0,1,MIN(1,Candidates!H6/'Find Candidates'!$B$7)))</f>
        <v>0.4</v>
      </c>
      <c r="E6" s="140" t="n">
        <f aca="false">IF($B6&lt;&gt;1,"",IF(Candidates!F6='Find Candidates'!$B$6,1,0))</f>
        <v>0</v>
      </c>
      <c r="F6" s="140" t="n">
        <f aca="false">IF($B6&lt;&gt;1,"",IF(Candidates!J6='Find Candidates'!$B$8,1,0))</f>
        <v>1</v>
      </c>
      <c r="G6" s="140" t="n">
        <f aca="false">IF($B6&lt;&gt;1,"",IF(Candidates!K6&lt;=30,1,IF(Candidates!K6&lt;=60,0.5,0)))</f>
        <v>1</v>
      </c>
      <c r="H6" s="140" t="n">
        <f aca="false">IF($B6&lt;&gt;1,"",IF(Candidates!I6&lt;='Find Candidates'!$B$9,1,0))</f>
        <v>1</v>
      </c>
      <c r="I6" s="140" t="n">
        <f aca="false">IF($B6=1,C6*'Find Candidates'!$B$15+D6*'Find Candidates'!$B$16+E6*'Find Candidates'!$B$17+F6*'Find Candidates'!$B$18+G6*'Find Candidates'!$B$19+H6*'Find Candidates'!$B$20,0)</f>
        <v>30</v>
      </c>
      <c r="J6" s="140" t="n">
        <f aca="false">IF(AND($B6=1,I6&gt;0),I6-ROW()/10^8,"")</f>
        <v>29.99999994</v>
      </c>
    </row>
    <row r="7" customFormat="false" ht="15" hidden="false" customHeight="false" outlineLevel="0" collapsed="false">
      <c r="A7" s="140" t="str">
        <f aca="false">IF(Candidates!A7="","",Candidates!A7)</f>
        <v>CAN-2026-00006</v>
      </c>
      <c r="B7" s="140" t="n">
        <f aca="false">IF(Candidates!A7="","",IF(AND(Candidates!M7&lt;&gt;"Hired",Candidates!N7&lt;&gt;"Do Not Contact",Candidates!Q7="Yes"),1,0))</f>
        <v>0</v>
      </c>
      <c r="C7" s="140" t="str">
        <f aca="false">IF($B7&lt;&gt;1,"",IF('Find Candidates'!$B$11=0,0,SUMPRODUCT(('Find Candidates'!$B$10:$F$10&lt;&gt;"")*ISNUMBER(SEARCH('Find Candidates'!$B$10:$F$10,Candidates!G7)))/'Find Candidates'!$B$11))</f>
        <v/>
      </c>
      <c r="D7" s="140" t="str">
        <f aca="false">IF($B7&lt;&gt;1,"",IF(N('Find Candidates'!$B$7)=0,1,MIN(1,Candidates!H7/'Find Candidates'!$B$7)))</f>
        <v/>
      </c>
      <c r="E7" s="140" t="str">
        <f aca="false">IF($B7&lt;&gt;1,"",IF(Candidates!F7='Find Candidates'!$B$6,1,0))</f>
        <v/>
      </c>
      <c r="F7" s="140" t="str">
        <f aca="false">IF($B7&lt;&gt;1,"",IF(Candidates!J7='Find Candidates'!$B$8,1,0))</f>
        <v/>
      </c>
      <c r="G7" s="140" t="str">
        <f aca="false">IF($B7&lt;&gt;1,"",IF(Candidates!K7&lt;=30,1,IF(Candidates!K7&lt;=60,0.5,0)))</f>
        <v/>
      </c>
      <c r="H7" s="140" t="str">
        <f aca="false">IF($B7&lt;&gt;1,"",IF(Candidates!I7&lt;='Find Candidates'!$B$9,1,0))</f>
        <v/>
      </c>
      <c r="I7" s="140" t="n">
        <f aca="false">IF($B7=1,C7*'Find Candidates'!$B$15+D7*'Find Candidates'!$B$16+E7*'Find Candidates'!$B$17+F7*'Find Candidates'!$B$18+G7*'Find Candidates'!$B$19+H7*'Find Candidates'!$B$20,0)</f>
        <v>0</v>
      </c>
      <c r="J7" s="140" t="str">
        <f aca="false">IF(AND($B7=1,I7&gt;0),I7-ROW()/10^8,"")</f>
        <v/>
      </c>
    </row>
    <row r="8" customFormat="false" ht="15" hidden="false" customHeight="false" outlineLevel="0" collapsed="false">
      <c r="A8" s="140" t="str">
        <f aca="false">IF(Candidates!A8="","",Candidates!A8)</f>
        <v>CAN-2026-00007</v>
      </c>
      <c r="B8" s="140" t="n">
        <f aca="false">IF(Candidates!A8="","",IF(AND(Candidates!M8&lt;&gt;"Hired",Candidates!N8&lt;&gt;"Do Not Contact",Candidates!Q8="Yes"),1,0))</f>
        <v>1</v>
      </c>
      <c r="C8" s="140" t="n">
        <f aca="false">IF($B8&lt;&gt;1,"",IF('Find Candidates'!$B$11=0,0,SUMPRODUCT(('Find Candidates'!$B$10:$F$10&lt;&gt;"")*ISNUMBER(SEARCH('Find Candidates'!$B$10:$F$10,Candidates!G8)))/'Find Candidates'!$B$11))</f>
        <v>0.8</v>
      </c>
      <c r="D8" s="140" t="n">
        <f aca="false">IF($B8&lt;&gt;1,"",IF(N('Find Candidates'!$B$7)=0,1,MIN(1,Candidates!H8/'Find Candidates'!$B$7)))</f>
        <v>1</v>
      </c>
      <c r="E8" s="140" t="n">
        <f aca="false">IF($B8&lt;&gt;1,"",IF(Candidates!F8='Find Candidates'!$B$6,1,0))</f>
        <v>1</v>
      </c>
      <c r="F8" s="140" t="n">
        <f aca="false">IF($B8&lt;&gt;1,"",IF(Candidates!J8='Find Candidates'!$B$8,1,0))</f>
        <v>0</v>
      </c>
      <c r="G8" s="140" t="n">
        <f aca="false">IF($B8&lt;&gt;1,"",IF(Candidates!K8&lt;=30,1,IF(Candidates!K8&lt;=60,0.5,0)))</f>
        <v>1</v>
      </c>
      <c r="H8" s="140" t="n">
        <f aca="false">IF($B8&lt;&gt;1,"",IF(Candidates!I8&lt;='Find Candidates'!$B$9,1,0))</f>
        <v>1</v>
      </c>
      <c r="I8" s="140" t="n">
        <f aca="false">IF($B8=1,C8*'Find Candidates'!$B$15+D8*'Find Candidates'!$B$16+E8*'Find Candidates'!$B$17+F8*'Find Candidates'!$B$18+G8*'Find Candidates'!$B$19+H8*'Find Candidates'!$B$20,0)</f>
        <v>82</v>
      </c>
      <c r="J8" s="140" t="n">
        <f aca="false">IF(AND($B8=1,I8&gt;0),I8-ROW()/10^8,"")</f>
        <v>81.99999992</v>
      </c>
    </row>
    <row r="9" customFormat="false" ht="15" hidden="false" customHeight="false" outlineLevel="0" collapsed="false">
      <c r="A9" s="140" t="str">
        <f aca="false">IF(Candidates!A9="","",Candidates!A9)</f>
        <v>CAN-2026-00008</v>
      </c>
      <c r="B9" s="140" t="n">
        <f aca="false">IF(Candidates!A9="","",IF(AND(Candidates!M9&lt;&gt;"Hired",Candidates!N9&lt;&gt;"Do Not Contact",Candidates!Q9="Yes"),1,0))</f>
        <v>1</v>
      </c>
      <c r="C9" s="140" t="n">
        <f aca="false">IF($B9&lt;&gt;1,"",IF('Find Candidates'!$B$11=0,0,SUMPRODUCT(('Find Candidates'!$B$10:$F$10&lt;&gt;"")*ISNUMBER(SEARCH('Find Candidates'!$B$10:$F$10,Candidates!G9)))/'Find Candidates'!$B$11))</f>
        <v>0.2</v>
      </c>
      <c r="D9" s="140" t="n">
        <f aca="false">IF($B9&lt;&gt;1,"",IF(N('Find Candidates'!$B$7)=0,1,MIN(1,Candidates!H9/'Find Candidates'!$B$7)))</f>
        <v>1</v>
      </c>
      <c r="E9" s="140" t="n">
        <f aca="false">IF($B9&lt;&gt;1,"",IF(Candidates!F9='Find Candidates'!$B$6,1,0))</f>
        <v>0</v>
      </c>
      <c r="F9" s="140" t="n">
        <f aca="false">IF($B9&lt;&gt;1,"",IF(Candidates!J9='Find Candidates'!$B$8,1,0))</f>
        <v>0</v>
      </c>
      <c r="G9" s="140" t="n">
        <f aca="false">IF($B9&lt;&gt;1,"",IF(Candidates!K9&lt;=30,1,IF(Candidates!K9&lt;=60,0.5,0)))</f>
        <v>0.5</v>
      </c>
      <c r="H9" s="140" t="n">
        <f aca="false">IF($B9&lt;&gt;1,"",IF(Candidates!I9&lt;='Find Candidates'!$B$9,1,0))</f>
        <v>1</v>
      </c>
      <c r="I9" s="140" t="n">
        <f aca="false">IF($B9=1,C9*'Find Candidates'!$B$15+D9*'Find Candidates'!$B$16+E9*'Find Candidates'!$B$17+F9*'Find Candidates'!$B$18+G9*'Find Candidates'!$B$19+H9*'Find Candidates'!$B$20,0)</f>
        <v>40.5</v>
      </c>
      <c r="J9" s="140" t="n">
        <f aca="false">IF(AND($B9=1,I9&gt;0),I9-ROW()/10^8,"")</f>
        <v>40.49999991</v>
      </c>
    </row>
    <row r="10" customFormat="false" ht="15" hidden="false" customHeight="false" outlineLevel="0" collapsed="false">
      <c r="A10" s="140" t="str">
        <f aca="false">IF(Candidates!A10="","",Candidates!A10)</f>
        <v>CAN-2026-00009</v>
      </c>
      <c r="B10" s="140" t="n">
        <f aca="false">IF(Candidates!A10="","",IF(AND(Candidates!M10&lt;&gt;"Hired",Candidates!N10&lt;&gt;"Do Not Contact",Candidates!Q10="Yes"),1,0))</f>
        <v>1</v>
      </c>
      <c r="C10" s="140" t="n">
        <f aca="false">IF($B10&lt;&gt;1,"",IF('Find Candidates'!$B$11=0,0,SUMPRODUCT(('Find Candidates'!$B$10:$F$10&lt;&gt;"")*ISNUMBER(SEARCH('Find Candidates'!$B$10:$F$10,Candidates!G10)))/'Find Candidates'!$B$11))</f>
        <v>0.8</v>
      </c>
      <c r="D10" s="140" t="n">
        <f aca="false">IF($B10&lt;&gt;1,"",IF(N('Find Candidates'!$B$7)=0,1,MIN(1,Candidates!H10/'Find Candidates'!$B$7)))</f>
        <v>1</v>
      </c>
      <c r="E10" s="140" t="n">
        <f aca="false">IF($B10&lt;&gt;1,"",IF(Candidates!F10='Find Candidates'!$B$6,1,0))</f>
        <v>1</v>
      </c>
      <c r="F10" s="140" t="n">
        <f aca="false">IF($B10&lt;&gt;1,"",IF(Candidates!J10='Find Candidates'!$B$8,1,0))</f>
        <v>0</v>
      </c>
      <c r="G10" s="140" t="n">
        <f aca="false">IF($B10&lt;&gt;1,"",IF(Candidates!K10&lt;=30,1,IF(Candidates!K10&lt;=60,0.5,0)))</f>
        <v>1</v>
      </c>
      <c r="H10" s="140" t="n">
        <f aca="false">IF($B10&lt;&gt;1,"",IF(Candidates!I10&lt;='Find Candidates'!$B$9,1,0))</f>
        <v>1</v>
      </c>
      <c r="I10" s="140" t="n">
        <f aca="false">IF($B10=1,C10*'Find Candidates'!$B$15+D10*'Find Candidates'!$B$16+E10*'Find Candidates'!$B$17+F10*'Find Candidates'!$B$18+G10*'Find Candidates'!$B$19+H10*'Find Candidates'!$B$20,0)</f>
        <v>82</v>
      </c>
      <c r="J10" s="140" t="n">
        <f aca="false">IF(AND($B10=1,I10&gt;0),I10-ROW()/10^8,"")</f>
        <v>81.9999999</v>
      </c>
    </row>
    <row r="11" customFormat="false" ht="15" hidden="false" customHeight="false" outlineLevel="0" collapsed="false">
      <c r="A11" s="140" t="str">
        <f aca="false">IF(Candidates!A11="","",Candidates!A11)</f>
        <v>CAN-2026-00010</v>
      </c>
      <c r="B11" s="140" t="n">
        <f aca="false">IF(Candidates!A11="","",IF(AND(Candidates!M11&lt;&gt;"Hired",Candidates!N11&lt;&gt;"Do Not Contact",Candidates!Q11="Yes"),1,0))</f>
        <v>1</v>
      </c>
      <c r="C11" s="140" t="n">
        <f aca="false">IF($B11&lt;&gt;1,"",IF('Find Candidates'!$B$11=0,0,SUMPRODUCT(('Find Candidates'!$B$10:$F$10&lt;&gt;"")*ISNUMBER(SEARCH('Find Candidates'!$B$10:$F$10,Candidates!G11)))/'Find Candidates'!$B$11))</f>
        <v>0.8</v>
      </c>
      <c r="D11" s="140" t="n">
        <f aca="false">IF($B11&lt;&gt;1,"",IF(N('Find Candidates'!$B$7)=0,1,MIN(1,Candidates!H11/'Find Candidates'!$B$7)))</f>
        <v>0.2</v>
      </c>
      <c r="E11" s="140" t="n">
        <f aca="false">IF($B11&lt;&gt;1,"",IF(Candidates!F11='Find Candidates'!$B$6,1,0))</f>
        <v>1</v>
      </c>
      <c r="F11" s="140" t="n">
        <f aca="false">IF($B11&lt;&gt;1,"",IF(Candidates!J11='Find Candidates'!$B$8,1,0))</f>
        <v>0</v>
      </c>
      <c r="G11" s="140" t="n">
        <f aca="false">IF($B11&lt;&gt;1,"",IF(Candidates!K11&lt;=30,1,IF(Candidates!K11&lt;=60,0.5,0)))</f>
        <v>1</v>
      </c>
      <c r="H11" s="140" t="n">
        <f aca="false">IF($B11&lt;&gt;1,"",IF(Candidates!I11&lt;='Find Candidates'!$B$9,1,0))</f>
        <v>0</v>
      </c>
      <c r="I11" s="140" t="n">
        <f aca="false">IF($B11=1,C11*'Find Candidates'!$B$15+D11*'Find Candidates'!$B$16+E11*'Find Candidates'!$B$17+F11*'Find Candidates'!$B$18+G11*'Find Candidates'!$B$19+H11*'Find Candidates'!$B$20,0)</f>
        <v>57</v>
      </c>
      <c r="J11" s="140" t="n">
        <f aca="false">IF(AND($B11=1,I11&gt;0),I11-ROW()/10^8,"")</f>
        <v>56.99999989</v>
      </c>
    </row>
    <row r="12" customFormat="false" ht="15" hidden="false" customHeight="false" outlineLevel="0" collapsed="false">
      <c r="A12" s="140" t="str">
        <f aca="false">IF(Candidates!A12="","",Candidates!A12)</f>
        <v>CAN-2026-00011</v>
      </c>
      <c r="B12" s="140" t="n">
        <f aca="false">IF(Candidates!A12="","",IF(AND(Candidates!M12&lt;&gt;"Hired",Candidates!N12&lt;&gt;"Do Not Contact",Candidates!Q12="Yes"),1,0))</f>
        <v>1</v>
      </c>
      <c r="C12" s="140" t="n">
        <f aca="false">IF($B12&lt;&gt;1,"",IF('Find Candidates'!$B$11=0,0,SUMPRODUCT(('Find Candidates'!$B$10:$F$10&lt;&gt;"")*ISNUMBER(SEARCH('Find Candidates'!$B$10:$F$10,Candidates!G12)))/'Find Candidates'!$B$11))</f>
        <v>0</v>
      </c>
      <c r="D12" s="140" t="n">
        <f aca="false">IF($B12&lt;&gt;1,"",IF(N('Find Candidates'!$B$7)=0,1,MIN(1,Candidates!H12/'Find Candidates'!$B$7)))</f>
        <v>1</v>
      </c>
      <c r="E12" s="140" t="n">
        <f aca="false">IF($B12&lt;&gt;1,"",IF(Candidates!F12='Find Candidates'!$B$6,1,0))</f>
        <v>0</v>
      </c>
      <c r="F12" s="140" t="n">
        <f aca="false">IF($B12&lt;&gt;1,"",IF(Candidates!J12='Find Candidates'!$B$8,1,0))</f>
        <v>0</v>
      </c>
      <c r="G12" s="140" t="n">
        <f aca="false">IF($B12&lt;&gt;1,"",IF(Candidates!K12&lt;=30,1,IF(Candidates!K12&lt;=60,0.5,0)))</f>
        <v>0.5</v>
      </c>
      <c r="H12" s="140" t="n">
        <f aca="false">IF($B12&lt;&gt;1,"",IF(Candidates!I12&lt;='Find Candidates'!$B$9,1,0))</f>
        <v>1</v>
      </c>
      <c r="I12" s="140" t="n">
        <f aca="false">IF($B12=1,C12*'Find Candidates'!$B$15+D12*'Find Candidates'!$B$16+E12*'Find Candidates'!$B$17+F12*'Find Candidates'!$B$18+G12*'Find Candidates'!$B$19+H12*'Find Candidates'!$B$20,0)</f>
        <v>32.5</v>
      </c>
      <c r="J12" s="140" t="n">
        <f aca="false">IF(AND($B12=1,I12&gt;0),I12-ROW()/10^8,"")</f>
        <v>32.49999988</v>
      </c>
    </row>
    <row r="13" customFormat="false" ht="15" hidden="false" customHeight="false" outlineLevel="0" collapsed="false">
      <c r="A13" s="140" t="str">
        <f aca="false">IF(Candidates!A13="","",Candidates!A13)</f>
        <v>CAN-2026-00012</v>
      </c>
      <c r="B13" s="140" t="n">
        <f aca="false">IF(Candidates!A13="","",IF(AND(Candidates!M13&lt;&gt;"Hired",Candidates!N13&lt;&gt;"Do Not Contact",Candidates!Q13="Yes"),1,0))</f>
        <v>1</v>
      </c>
      <c r="C13" s="140" t="n">
        <f aca="false">IF($B13&lt;&gt;1,"",IF('Find Candidates'!$B$11=0,0,SUMPRODUCT(('Find Candidates'!$B$10:$F$10&lt;&gt;"")*ISNUMBER(SEARCH('Find Candidates'!$B$10:$F$10,Candidates!G13)))/'Find Candidates'!$B$11))</f>
        <v>0</v>
      </c>
      <c r="D13" s="140" t="n">
        <f aca="false">IF($B13&lt;&gt;1,"",IF(N('Find Candidates'!$B$7)=0,1,MIN(1,Candidates!H13/'Find Candidates'!$B$7)))</f>
        <v>1</v>
      </c>
      <c r="E13" s="140" t="n">
        <f aca="false">IF($B13&lt;&gt;1,"",IF(Candidates!F13='Find Candidates'!$B$6,1,0))</f>
        <v>0</v>
      </c>
      <c r="F13" s="140" t="n">
        <f aca="false">IF($B13&lt;&gt;1,"",IF(Candidates!J13='Find Candidates'!$B$8,1,0))</f>
        <v>0</v>
      </c>
      <c r="G13" s="140" t="n">
        <f aca="false">IF($B13&lt;&gt;1,"",IF(Candidates!K13&lt;=30,1,IF(Candidates!K13&lt;=60,0.5,0)))</f>
        <v>1</v>
      </c>
      <c r="H13" s="140" t="n">
        <f aca="false">IF($B13&lt;&gt;1,"",IF(Candidates!I13&lt;='Find Candidates'!$B$9,1,0))</f>
        <v>1</v>
      </c>
      <c r="I13" s="140" t="n">
        <f aca="false">IF($B13=1,C13*'Find Candidates'!$B$15+D13*'Find Candidates'!$B$16+E13*'Find Candidates'!$B$17+F13*'Find Candidates'!$B$18+G13*'Find Candidates'!$B$19+H13*'Find Candidates'!$B$20,0)</f>
        <v>35</v>
      </c>
      <c r="J13" s="140" t="n">
        <f aca="false">IF(AND($B13=1,I13&gt;0),I13-ROW()/10^8,"")</f>
        <v>34.99999987</v>
      </c>
    </row>
    <row r="14" customFormat="false" ht="15" hidden="false" customHeight="false" outlineLevel="0" collapsed="false">
      <c r="A14" s="140" t="str">
        <f aca="false">IF(Candidates!A14="","",Candidates!A14)</f>
        <v>CAN-2026-00013</v>
      </c>
      <c r="B14" s="140" t="n">
        <f aca="false">IF(Candidates!A14="","",IF(AND(Candidates!M14&lt;&gt;"Hired",Candidates!N14&lt;&gt;"Do Not Contact",Candidates!Q14="Yes"),1,0))</f>
        <v>1</v>
      </c>
      <c r="C14" s="140" t="n">
        <f aca="false">IF($B14&lt;&gt;1,"",IF('Find Candidates'!$B$11=0,0,SUMPRODUCT(('Find Candidates'!$B$10:$F$10&lt;&gt;"")*ISNUMBER(SEARCH('Find Candidates'!$B$10:$F$10,Candidates!G14)))/'Find Candidates'!$B$11))</f>
        <v>0.6</v>
      </c>
      <c r="D14" s="140" t="n">
        <f aca="false">IF($B14&lt;&gt;1,"",IF(N('Find Candidates'!$B$7)=0,1,MIN(1,Candidates!H14/'Find Candidates'!$B$7)))</f>
        <v>1</v>
      </c>
      <c r="E14" s="140" t="n">
        <f aca="false">IF($B14&lt;&gt;1,"",IF(Candidates!F14='Find Candidates'!$B$6,1,0))</f>
        <v>1</v>
      </c>
      <c r="F14" s="140" t="n">
        <f aca="false">IF($B14&lt;&gt;1,"",IF(Candidates!J14='Find Candidates'!$B$8,1,0))</f>
        <v>0</v>
      </c>
      <c r="G14" s="140" t="n">
        <f aca="false">IF($B14&lt;&gt;1,"",IF(Candidates!K14&lt;=30,1,IF(Candidates!K14&lt;=60,0.5,0)))</f>
        <v>1</v>
      </c>
      <c r="H14" s="140" t="n">
        <f aca="false">IF($B14&lt;&gt;1,"",IF(Candidates!I14&lt;='Find Candidates'!$B$9,1,0))</f>
        <v>0</v>
      </c>
      <c r="I14" s="140" t="n">
        <f aca="false">IF($B14=1,C14*'Find Candidates'!$B$15+D14*'Find Candidates'!$B$16+E14*'Find Candidates'!$B$17+F14*'Find Candidates'!$B$18+G14*'Find Candidates'!$B$19+H14*'Find Candidates'!$B$20,0)</f>
        <v>69</v>
      </c>
      <c r="J14" s="140" t="n">
        <f aca="false">IF(AND($B14=1,I14&gt;0),I14-ROW()/10^8,"")</f>
        <v>68.99999986</v>
      </c>
    </row>
    <row r="15" customFormat="false" ht="15" hidden="false" customHeight="false" outlineLevel="0" collapsed="false">
      <c r="A15" s="140" t="str">
        <f aca="false">IF(Candidates!A15="","",Candidates!A15)</f>
        <v>CAN-2026-00014</v>
      </c>
      <c r="B15" s="140" t="n">
        <f aca="false">IF(Candidates!A15="","",IF(AND(Candidates!M15&lt;&gt;"Hired",Candidates!N15&lt;&gt;"Do Not Contact",Candidates!Q15="Yes"),1,0))</f>
        <v>0</v>
      </c>
      <c r="C15" s="140" t="str">
        <f aca="false">IF($B15&lt;&gt;1,"",IF('Find Candidates'!$B$11=0,0,SUMPRODUCT(('Find Candidates'!$B$10:$F$10&lt;&gt;"")*ISNUMBER(SEARCH('Find Candidates'!$B$10:$F$10,Candidates!G15)))/'Find Candidates'!$B$11))</f>
        <v/>
      </c>
      <c r="D15" s="140" t="str">
        <f aca="false">IF($B15&lt;&gt;1,"",IF(N('Find Candidates'!$B$7)=0,1,MIN(1,Candidates!H15/'Find Candidates'!$B$7)))</f>
        <v/>
      </c>
      <c r="E15" s="140" t="str">
        <f aca="false">IF($B15&lt;&gt;1,"",IF(Candidates!F15='Find Candidates'!$B$6,1,0))</f>
        <v/>
      </c>
      <c r="F15" s="140" t="str">
        <f aca="false">IF($B15&lt;&gt;1,"",IF(Candidates!J15='Find Candidates'!$B$8,1,0))</f>
        <v/>
      </c>
      <c r="G15" s="140" t="str">
        <f aca="false">IF($B15&lt;&gt;1,"",IF(Candidates!K15&lt;=30,1,IF(Candidates!K15&lt;=60,0.5,0)))</f>
        <v/>
      </c>
      <c r="H15" s="140" t="str">
        <f aca="false">IF($B15&lt;&gt;1,"",IF(Candidates!I15&lt;='Find Candidates'!$B$9,1,0))</f>
        <v/>
      </c>
      <c r="I15" s="140" t="n">
        <f aca="false">IF($B15=1,C15*'Find Candidates'!$B$15+D15*'Find Candidates'!$B$16+E15*'Find Candidates'!$B$17+F15*'Find Candidates'!$B$18+G15*'Find Candidates'!$B$19+H15*'Find Candidates'!$B$20,0)</f>
        <v>0</v>
      </c>
      <c r="J15" s="140" t="str">
        <f aca="false">IF(AND($B15=1,I15&gt;0),I15-ROW()/10^8,"")</f>
        <v/>
      </c>
    </row>
    <row r="16" customFormat="false" ht="15" hidden="false" customHeight="false" outlineLevel="0" collapsed="false">
      <c r="A16" s="140" t="str">
        <f aca="false">IF(Candidates!A16="","",Candidates!A16)</f>
        <v>CAN-2026-00015</v>
      </c>
      <c r="B16" s="140" t="n">
        <f aca="false">IF(Candidates!A16="","",IF(AND(Candidates!M16&lt;&gt;"Hired",Candidates!N16&lt;&gt;"Do Not Contact",Candidates!Q16="Yes"),1,0))</f>
        <v>0</v>
      </c>
      <c r="C16" s="140" t="str">
        <f aca="false">IF($B16&lt;&gt;1,"",IF('Find Candidates'!$B$11=0,0,SUMPRODUCT(('Find Candidates'!$B$10:$F$10&lt;&gt;"")*ISNUMBER(SEARCH('Find Candidates'!$B$10:$F$10,Candidates!G16)))/'Find Candidates'!$B$11))</f>
        <v/>
      </c>
      <c r="D16" s="140" t="str">
        <f aca="false">IF($B16&lt;&gt;1,"",IF(N('Find Candidates'!$B$7)=0,1,MIN(1,Candidates!H16/'Find Candidates'!$B$7)))</f>
        <v/>
      </c>
      <c r="E16" s="140" t="str">
        <f aca="false">IF($B16&lt;&gt;1,"",IF(Candidates!F16='Find Candidates'!$B$6,1,0))</f>
        <v/>
      </c>
      <c r="F16" s="140" t="str">
        <f aca="false">IF($B16&lt;&gt;1,"",IF(Candidates!J16='Find Candidates'!$B$8,1,0))</f>
        <v/>
      </c>
      <c r="G16" s="140" t="str">
        <f aca="false">IF($B16&lt;&gt;1,"",IF(Candidates!K16&lt;=30,1,IF(Candidates!K16&lt;=60,0.5,0)))</f>
        <v/>
      </c>
      <c r="H16" s="140" t="str">
        <f aca="false">IF($B16&lt;&gt;1,"",IF(Candidates!I16&lt;='Find Candidates'!$B$9,1,0))</f>
        <v/>
      </c>
      <c r="I16" s="140" t="n">
        <f aca="false">IF($B16=1,C16*'Find Candidates'!$B$15+D16*'Find Candidates'!$B$16+E16*'Find Candidates'!$B$17+F16*'Find Candidates'!$B$18+G16*'Find Candidates'!$B$19+H16*'Find Candidates'!$B$20,0)</f>
        <v>0</v>
      </c>
      <c r="J16" s="140" t="str">
        <f aca="false">IF(AND($B16=1,I16&gt;0),I16-ROW()/10^8,"")</f>
        <v/>
      </c>
    </row>
    <row r="17" customFormat="false" ht="15" hidden="false" customHeight="false" outlineLevel="0" collapsed="false">
      <c r="A17" s="140" t="str">
        <f aca="false">IF(Candidates!A17="","",Candidates!A17)</f>
        <v>CAN-2026-00016</v>
      </c>
      <c r="B17" s="140" t="n">
        <f aca="false">IF(Candidates!A17="","",IF(AND(Candidates!M17&lt;&gt;"Hired",Candidates!N17&lt;&gt;"Do Not Contact",Candidates!Q17="Yes"),1,0))</f>
        <v>1</v>
      </c>
      <c r="C17" s="140" t="n">
        <f aca="false">IF($B17&lt;&gt;1,"",IF('Find Candidates'!$B$11=0,0,SUMPRODUCT(('Find Candidates'!$B$10:$F$10&lt;&gt;"")*ISNUMBER(SEARCH('Find Candidates'!$B$10:$F$10,Candidates!G17)))/'Find Candidates'!$B$11))</f>
        <v>0</v>
      </c>
      <c r="D17" s="140" t="n">
        <f aca="false">IF($B17&lt;&gt;1,"",IF(N('Find Candidates'!$B$7)=0,1,MIN(1,Candidates!H17/'Find Candidates'!$B$7)))</f>
        <v>0.6</v>
      </c>
      <c r="E17" s="140" t="n">
        <f aca="false">IF($B17&lt;&gt;1,"",IF(Candidates!F17='Find Candidates'!$B$6,1,0))</f>
        <v>0</v>
      </c>
      <c r="F17" s="140" t="n">
        <f aca="false">IF($B17&lt;&gt;1,"",IF(Candidates!J17='Find Candidates'!$B$8,1,0))</f>
        <v>1</v>
      </c>
      <c r="G17" s="140" t="n">
        <f aca="false">IF($B17&lt;&gt;1,"",IF(Candidates!K17&lt;=30,1,IF(Candidates!K17&lt;=60,0.5,0)))</f>
        <v>1</v>
      </c>
      <c r="H17" s="140" t="n">
        <f aca="false">IF($B17&lt;&gt;1,"",IF(Candidates!I17&lt;='Find Candidates'!$B$9,1,0))</f>
        <v>1</v>
      </c>
      <c r="I17" s="140" t="n">
        <f aca="false">IF($B17=1,C17*'Find Candidates'!$B$15+D17*'Find Candidates'!$B$16+E17*'Find Candidates'!$B$17+F17*'Find Candidates'!$B$18+G17*'Find Candidates'!$B$19+H17*'Find Candidates'!$B$20,0)</f>
        <v>35</v>
      </c>
      <c r="J17" s="140" t="n">
        <f aca="false">IF(AND($B17=1,I17&gt;0),I17-ROW()/10^8,"")</f>
        <v>34.99999983</v>
      </c>
    </row>
    <row r="18" customFormat="false" ht="15" hidden="false" customHeight="false" outlineLevel="0" collapsed="false">
      <c r="A18" s="140" t="str">
        <f aca="false">IF(Candidates!A18="","",Candidates!A18)</f>
        <v>CAN-2026-00017</v>
      </c>
      <c r="B18" s="140" t="n">
        <f aca="false">IF(Candidates!A18="","",IF(AND(Candidates!M18&lt;&gt;"Hired",Candidates!N18&lt;&gt;"Do Not Contact",Candidates!Q18="Yes"),1,0))</f>
        <v>0</v>
      </c>
      <c r="C18" s="140" t="str">
        <f aca="false">IF($B18&lt;&gt;1,"",IF('Find Candidates'!$B$11=0,0,SUMPRODUCT(('Find Candidates'!$B$10:$F$10&lt;&gt;"")*ISNUMBER(SEARCH('Find Candidates'!$B$10:$F$10,Candidates!G18)))/'Find Candidates'!$B$11))</f>
        <v/>
      </c>
      <c r="D18" s="140" t="str">
        <f aca="false">IF($B18&lt;&gt;1,"",IF(N('Find Candidates'!$B$7)=0,1,MIN(1,Candidates!H18/'Find Candidates'!$B$7)))</f>
        <v/>
      </c>
      <c r="E18" s="140" t="str">
        <f aca="false">IF($B18&lt;&gt;1,"",IF(Candidates!F18='Find Candidates'!$B$6,1,0))</f>
        <v/>
      </c>
      <c r="F18" s="140" t="str">
        <f aca="false">IF($B18&lt;&gt;1,"",IF(Candidates!J18='Find Candidates'!$B$8,1,0))</f>
        <v/>
      </c>
      <c r="G18" s="140" t="str">
        <f aca="false">IF($B18&lt;&gt;1,"",IF(Candidates!K18&lt;=30,1,IF(Candidates!K18&lt;=60,0.5,0)))</f>
        <v/>
      </c>
      <c r="H18" s="140" t="str">
        <f aca="false">IF($B18&lt;&gt;1,"",IF(Candidates!I18&lt;='Find Candidates'!$B$9,1,0))</f>
        <v/>
      </c>
      <c r="I18" s="140" t="n">
        <f aca="false">IF($B18=1,C18*'Find Candidates'!$B$15+D18*'Find Candidates'!$B$16+E18*'Find Candidates'!$B$17+F18*'Find Candidates'!$B$18+G18*'Find Candidates'!$B$19+H18*'Find Candidates'!$B$20,0)</f>
        <v>0</v>
      </c>
      <c r="J18" s="140" t="str">
        <f aca="false">IF(AND($B18=1,I18&gt;0),I18-ROW()/10^8,"")</f>
        <v/>
      </c>
    </row>
    <row r="19" customFormat="false" ht="15" hidden="false" customHeight="false" outlineLevel="0" collapsed="false">
      <c r="A19" s="140" t="str">
        <f aca="false">IF(Candidates!A19="","",Candidates!A19)</f>
        <v>CAN-2026-00018</v>
      </c>
      <c r="B19" s="140" t="n">
        <f aca="false">IF(Candidates!A19="","",IF(AND(Candidates!M19&lt;&gt;"Hired",Candidates!N19&lt;&gt;"Do Not Contact",Candidates!Q19="Yes"),1,0))</f>
        <v>1</v>
      </c>
      <c r="C19" s="140" t="n">
        <f aca="false">IF($B19&lt;&gt;1,"",IF('Find Candidates'!$B$11=0,0,SUMPRODUCT(('Find Candidates'!$B$10:$F$10&lt;&gt;"")*ISNUMBER(SEARCH('Find Candidates'!$B$10:$F$10,Candidates!G19)))/'Find Candidates'!$B$11))</f>
        <v>0</v>
      </c>
      <c r="D19" s="140" t="n">
        <f aca="false">IF($B19&lt;&gt;1,"",IF(N('Find Candidates'!$B$7)=0,1,MIN(1,Candidates!H19/'Find Candidates'!$B$7)))</f>
        <v>0.6</v>
      </c>
      <c r="E19" s="140" t="n">
        <f aca="false">IF($B19&lt;&gt;1,"",IF(Candidates!F19='Find Candidates'!$B$6,1,0))</f>
        <v>0</v>
      </c>
      <c r="F19" s="140" t="n">
        <f aca="false">IF($B19&lt;&gt;1,"",IF(Candidates!J19='Find Candidates'!$B$8,1,0))</f>
        <v>0</v>
      </c>
      <c r="G19" s="140" t="n">
        <f aca="false">IF($B19&lt;&gt;1,"",IF(Candidates!K19&lt;=30,1,IF(Candidates!K19&lt;=60,0.5,0)))</f>
        <v>0.5</v>
      </c>
      <c r="H19" s="140" t="n">
        <f aca="false">IF($B19&lt;&gt;1,"",IF(Candidates!I19&lt;='Find Candidates'!$B$9,1,0))</f>
        <v>1</v>
      </c>
      <c r="I19" s="140" t="n">
        <f aca="false">IF($B19=1,C19*'Find Candidates'!$B$15+D19*'Find Candidates'!$B$16+E19*'Find Candidates'!$B$17+F19*'Find Candidates'!$B$18+G19*'Find Candidates'!$B$19+H19*'Find Candidates'!$B$20,0)</f>
        <v>22.5</v>
      </c>
      <c r="J19" s="140" t="n">
        <f aca="false">IF(AND($B19=1,I19&gt;0),I19-ROW()/10^8,"")</f>
        <v>22.49999981</v>
      </c>
    </row>
    <row r="20" customFormat="false" ht="15" hidden="false" customHeight="false" outlineLevel="0" collapsed="false">
      <c r="A20" s="140" t="str">
        <f aca="false">IF(Candidates!A20="","",Candidates!A20)</f>
        <v>CAN-2026-00019</v>
      </c>
      <c r="B20" s="140" t="n">
        <f aca="false">IF(Candidates!A20="","",IF(AND(Candidates!M20&lt;&gt;"Hired",Candidates!N20&lt;&gt;"Do Not Contact",Candidates!Q20="Yes"),1,0))</f>
        <v>1</v>
      </c>
      <c r="C20" s="140" t="n">
        <f aca="false">IF($B20&lt;&gt;1,"",IF('Find Candidates'!$B$11=0,0,SUMPRODUCT(('Find Candidates'!$B$10:$F$10&lt;&gt;"")*ISNUMBER(SEARCH('Find Candidates'!$B$10:$F$10,Candidates!G20)))/'Find Candidates'!$B$11))</f>
        <v>0</v>
      </c>
      <c r="D20" s="140" t="n">
        <f aca="false">IF($B20&lt;&gt;1,"",IF(N('Find Candidates'!$B$7)=0,1,MIN(1,Candidates!H20/'Find Candidates'!$B$7)))</f>
        <v>0.8</v>
      </c>
      <c r="E20" s="140" t="n">
        <f aca="false">IF($B20&lt;&gt;1,"",IF(Candidates!F20='Find Candidates'!$B$6,1,0))</f>
        <v>0</v>
      </c>
      <c r="F20" s="140" t="n">
        <f aca="false">IF($B20&lt;&gt;1,"",IF(Candidates!J20='Find Candidates'!$B$8,1,0))</f>
        <v>0</v>
      </c>
      <c r="G20" s="140" t="n">
        <f aca="false">IF($B20&lt;&gt;1,"",IF(Candidates!K20&lt;=30,1,IF(Candidates!K20&lt;=60,0.5,0)))</f>
        <v>1</v>
      </c>
      <c r="H20" s="140" t="n">
        <f aca="false">IF($B20&lt;&gt;1,"",IF(Candidates!I20&lt;='Find Candidates'!$B$9,1,0))</f>
        <v>0</v>
      </c>
      <c r="I20" s="140" t="n">
        <f aca="false">IF($B20=1,C20*'Find Candidates'!$B$15+D20*'Find Candidates'!$B$16+E20*'Find Candidates'!$B$17+F20*'Find Candidates'!$B$18+G20*'Find Candidates'!$B$19+H20*'Find Candidates'!$B$20,0)</f>
        <v>25</v>
      </c>
      <c r="J20" s="140" t="n">
        <f aca="false">IF(AND($B20=1,I20&gt;0),I20-ROW()/10^8,"")</f>
        <v>24.9999998</v>
      </c>
    </row>
    <row r="21" customFormat="false" ht="15" hidden="false" customHeight="false" outlineLevel="0" collapsed="false">
      <c r="A21" s="140" t="str">
        <f aca="false">IF(Candidates!A21="","",Candidates!A21)</f>
        <v>CAN-2026-00020</v>
      </c>
      <c r="B21" s="140" t="n">
        <f aca="false">IF(Candidates!A21="","",IF(AND(Candidates!M21&lt;&gt;"Hired",Candidates!N21&lt;&gt;"Do Not Contact",Candidates!Q21="Yes"),1,0))</f>
        <v>1</v>
      </c>
      <c r="C21" s="140" t="n">
        <f aca="false">IF($B21&lt;&gt;1,"",IF('Find Candidates'!$B$11=0,0,SUMPRODUCT(('Find Candidates'!$B$10:$F$10&lt;&gt;"")*ISNUMBER(SEARCH('Find Candidates'!$B$10:$F$10,Candidates!G21)))/'Find Candidates'!$B$11))</f>
        <v>0.6</v>
      </c>
      <c r="D21" s="140" t="n">
        <f aca="false">IF($B21&lt;&gt;1,"",IF(N('Find Candidates'!$B$7)=0,1,MIN(1,Candidates!H21/'Find Candidates'!$B$7)))</f>
        <v>0.6</v>
      </c>
      <c r="E21" s="140" t="n">
        <f aca="false">IF($B21&lt;&gt;1,"",IF(Candidates!F21='Find Candidates'!$B$6,1,0))</f>
        <v>1</v>
      </c>
      <c r="F21" s="140" t="n">
        <f aca="false">IF($B21&lt;&gt;1,"",IF(Candidates!J21='Find Candidates'!$B$8,1,0))</f>
        <v>0</v>
      </c>
      <c r="G21" s="140" t="n">
        <f aca="false">IF($B21&lt;&gt;1,"",IF(Candidates!K21&lt;=30,1,IF(Candidates!K21&lt;=60,0.5,0)))</f>
        <v>0.5</v>
      </c>
      <c r="H21" s="140" t="n">
        <f aca="false">IF($B21&lt;&gt;1,"",IF(Candidates!I21&lt;='Find Candidates'!$B$9,1,0))</f>
        <v>1</v>
      </c>
      <c r="I21" s="140" t="n">
        <f aca="false">IF($B21=1,C21*'Find Candidates'!$B$15+D21*'Find Candidates'!$B$16+E21*'Find Candidates'!$B$17+F21*'Find Candidates'!$B$18+G21*'Find Candidates'!$B$19+H21*'Find Candidates'!$B$20,0)</f>
        <v>61.5</v>
      </c>
      <c r="J21" s="140" t="n">
        <f aca="false">IF(AND($B21=1,I21&gt;0),I21-ROW()/10^8,"")</f>
        <v>61.49999979</v>
      </c>
    </row>
    <row r="22" customFormat="false" ht="15" hidden="false" customHeight="false" outlineLevel="0" collapsed="false">
      <c r="A22" s="140" t="str">
        <f aca="false">IF(Candidates!A22="","",Candidates!A22)</f>
        <v>CAN-2026-00021</v>
      </c>
      <c r="B22" s="140" t="n">
        <f aca="false">IF(Candidates!A22="","",IF(AND(Candidates!M22&lt;&gt;"Hired",Candidates!N22&lt;&gt;"Do Not Contact",Candidates!Q22="Yes"),1,0))</f>
        <v>0</v>
      </c>
      <c r="C22" s="140" t="str">
        <f aca="false">IF($B22&lt;&gt;1,"",IF('Find Candidates'!$B$11=0,0,SUMPRODUCT(('Find Candidates'!$B$10:$F$10&lt;&gt;"")*ISNUMBER(SEARCH('Find Candidates'!$B$10:$F$10,Candidates!G22)))/'Find Candidates'!$B$11))</f>
        <v/>
      </c>
      <c r="D22" s="140" t="str">
        <f aca="false">IF($B22&lt;&gt;1,"",IF(N('Find Candidates'!$B$7)=0,1,MIN(1,Candidates!H22/'Find Candidates'!$B$7)))</f>
        <v/>
      </c>
      <c r="E22" s="140" t="str">
        <f aca="false">IF($B22&lt;&gt;1,"",IF(Candidates!F22='Find Candidates'!$B$6,1,0))</f>
        <v/>
      </c>
      <c r="F22" s="140" t="str">
        <f aca="false">IF($B22&lt;&gt;1,"",IF(Candidates!J22='Find Candidates'!$B$8,1,0))</f>
        <v/>
      </c>
      <c r="G22" s="140" t="str">
        <f aca="false">IF($B22&lt;&gt;1,"",IF(Candidates!K22&lt;=30,1,IF(Candidates!K22&lt;=60,0.5,0)))</f>
        <v/>
      </c>
      <c r="H22" s="140" t="str">
        <f aca="false">IF($B22&lt;&gt;1,"",IF(Candidates!I22&lt;='Find Candidates'!$B$9,1,0))</f>
        <v/>
      </c>
      <c r="I22" s="140" t="n">
        <f aca="false">IF($B22=1,C22*'Find Candidates'!$B$15+D22*'Find Candidates'!$B$16+E22*'Find Candidates'!$B$17+F22*'Find Candidates'!$B$18+G22*'Find Candidates'!$B$19+H22*'Find Candidates'!$B$20,0)</f>
        <v>0</v>
      </c>
      <c r="J22" s="140" t="str">
        <f aca="false">IF(AND($B22=1,I22&gt;0),I22-ROW()/10^8,"")</f>
        <v/>
      </c>
    </row>
    <row r="23" customFormat="false" ht="15" hidden="false" customHeight="false" outlineLevel="0" collapsed="false">
      <c r="A23" s="140" t="str">
        <f aca="false">IF(Candidates!A23="","",Candidates!A23)</f>
        <v>CAN-2026-00022</v>
      </c>
      <c r="B23" s="140" t="n">
        <f aca="false">IF(Candidates!A23="","",IF(AND(Candidates!M23&lt;&gt;"Hired",Candidates!N23&lt;&gt;"Do Not Contact",Candidates!Q23="Yes"),1,0))</f>
        <v>1</v>
      </c>
      <c r="C23" s="140" t="n">
        <f aca="false">IF($B23&lt;&gt;1,"",IF('Find Candidates'!$B$11=0,0,SUMPRODUCT(('Find Candidates'!$B$10:$F$10&lt;&gt;"")*ISNUMBER(SEARCH('Find Candidates'!$B$10:$F$10,Candidates!G23)))/'Find Candidates'!$B$11))</f>
        <v>0</v>
      </c>
      <c r="D23" s="140" t="n">
        <f aca="false">IF($B23&lt;&gt;1,"",IF(N('Find Candidates'!$B$7)=0,1,MIN(1,Candidates!H23/'Find Candidates'!$B$7)))</f>
        <v>0.6</v>
      </c>
      <c r="E23" s="140" t="n">
        <f aca="false">IF($B23&lt;&gt;1,"",IF(Candidates!F23='Find Candidates'!$B$6,1,0))</f>
        <v>0</v>
      </c>
      <c r="F23" s="140" t="n">
        <f aca="false">IF($B23&lt;&gt;1,"",IF(Candidates!J23='Find Candidates'!$B$8,1,0))</f>
        <v>0</v>
      </c>
      <c r="G23" s="140" t="n">
        <f aca="false">IF($B23&lt;&gt;1,"",IF(Candidates!K23&lt;=30,1,IF(Candidates!K23&lt;=60,0.5,0)))</f>
        <v>1</v>
      </c>
      <c r="H23" s="140" t="n">
        <f aca="false">IF($B23&lt;&gt;1,"",IF(Candidates!I23&lt;='Find Candidates'!$B$9,1,0))</f>
        <v>1</v>
      </c>
      <c r="I23" s="140" t="n">
        <f aca="false">IF($B23=1,C23*'Find Candidates'!$B$15+D23*'Find Candidates'!$B$16+E23*'Find Candidates'!$B$17+F23*'Find Candidates'!$B$18+G23*'Find Candidates'!$B$19+H23*'Find Candidates'!$B$20,0)</f>
        <v>25</v>
      </c>
      <c r="J23" s="140" t="n">
        <f aca="false">IF(AND($B23=1,I23&gt;0),I23-ROW()/10^8,"")</f>
        <v>24.99999977</v>
      </c>
    </row>
    <row r="24" customFormat="false" ht="15" hidden="false" customHeight="false" outlineLevel="0" collapsed="false">
      <c r="A24" s="140" t="str">
        <f aca="false">IF(Candidates!A24="","",Candidates!A24)</f>
        <v>CAN-2026-00023</v>
      </c>
      <c r="B24" s="140" t="n">
        <f aca="false">IF(Candidates!A24="","",IF(AND(Candidates!M24&lt;&gt;"Hired",Candidates!N24&lt;&gt;"Do Not Contact",Candidates!Q24="Yes"),1,0))</f>
        <v>1</v>
      </c>
      <c r="C24" s="140" t="n">
        <f aca="false">IF($B24&lt;&gt;1,"",IF('Find Candidates'!$B$11=0,0,SUMPRODUCT(('Find Candidates'!$B$10:$F$10&lt;&gt;"")*ISNUMBER(SEARCH('Find Candidates'!$B$10:$F$10,Candidates!G24)))/'Find Candidates'!$B$11))</f>
        <v>1</v>
      </c>
      <c r="D24" s="140" t="n">
        <f aca="false">IF($B24&lt;&gt;1,"",IF(N('Find Candidates'!$B$7)=0,1,MIN(1,Candidates!H24/'Find Candidates'!$B$7)))</f>
        <v>1</v>
      </c>
      <c r="E24" s="140" t="n">
        <f aca="false">IF($B24&lt;&gt;1,"",IF(Candidates!F24='Find Candidates'!$B$6,1,0))</f>
        <v>1</v>
      </c>
      <c r="F24" s="140" t="n">
        <f aca="false">IF($B24&lt;&gt;1,"",IF(Candidates!J24='Find Candidates'!$B$8,1,0))</f>
        <v>0</v>
      </c>
      <c r="G24" s="140" t="n">
        <f aca="false">IF($B24&lt;&gt;1,"",IF(Candidates!K24&lt;=30,1,IF(Candidates!K24&lt;=60,0.5,0)))</f>
        <v>1</v>
      </c>
      <c r="H24" s="140" t="n">
        <f aca="false">IF($B24&lt;&gt;1,"",IF(Candidates!I24&lt;='Find Candidates'!$B$9,1,0))</f>
        <v>0</v>
      </c>
      <c r="I24" s="140" t="n">
        <f aca="false">IF($B24=1,C24*'Find Candidates'!$B$15+D24*'Find Candidates'!$B$16+E24*'Find Candidates'!$B$17+F24*'Find Candidates'!$B$18+G24*'Find Candidates'!$B$19+H24*'Find Candidates'!$B$20,0)</f>
        <v>85</v>
      </c>
      <c r="J24" s="140" t="n">
        <f aca="false">IF(AND($B24=1,I24&gt;0),I24-ROW()/10^8,"")</f>
        <v>84.99999976</v>
      </c>
    </row>
    <row r="25" customFormat="false" ht="15" hidden="false" customHeight="false" outlineLevel="0" collapsed="false">
      <c r="A25" s="140" t="str">
        <f aca="false">IF(Candidates!A25="","",Candidates!A25)</f>
        <v>CAN-2026-00024</v>
      </c>
      <c r="B25" s="140" t="n">
        <f aca="false">IF(Candidates!A25="","",IF(AND(Candidates!M25&lt;&gt;"Hired",Candidates!N25&lt;&gt;"Do Not Contact",Candidates!Q25="Yes"),1,0))</f>
        <v>1</v>
      </c>
      <c r="C25" s="140" t="n">
        <f aca="false">IF($B25&lt;&gt;1,"",IF('Find Candidates'!$B$11=0,0,SUMPRODUCT(('Find Candidates'!$B$10:$F$10&lt;&gt;"")*ISNUMBER(SEARCH('Find Candidates'!$B$10:$F$10,Candidates!G25)))/'Find Candidates'!$B$11))</f>
        <v>0</v>
      </c>
      <c r="D25" s="140" t="n">
        <f aca="false">IF($B25&lt;&gt;1,"",IF(N('Find Candidates'!$B$7)=0,1,MIN(1,Candidates!H25/'Find Candidates'!$B$7)))</f>
        <v>1</v>
      </c>
      <c r="E25" s="140" t="n">
        <f aca="false">IF($B25&lt;&gt;1,"",IF(Candidates!F25='Find Candidates'!$B$6,1,0))</f>
        <v>0</v>
      </c>
      <c r="F25" s="140" t="n">
        <f aca="false">IF($B25&lt;&gt;1,"",IF(Candidates!J25='Find Candidates'!$B$8,1,0))</f>
        <v>0</v>
      </c>
      <c r="G25" s="140" t="n">
        <f aca="false">IF($B25&lt;&gt;1,"",IF(Candidates!K25&lt;=30,1,IF(Candidates!K25&lt;=60,0.5,0)))</f>
        <v>1</v>
      </c>
      <c r="H25" s="140" t="n">
        <f aca="false">IF($B25&lt;&gt;1,"",IF(Candidates!I25&lt;='Find Candidates'!$B$9,1,0))</f>
        <v>1</v>
      </c>
      <c r="I25" s="140" t="n">
        <f aca="false">IF($B25=1,C25*'Find Candidates'!$B$15+D25*'Find Candidates'!$B$16+E25*'Find Candidates'!$B$17+F25*'Find Candidates'!$B$18+G25*'Find Candidates'!$B$19+H25*'Find Candidates'!$B$20,0)</f>
        <v>35</v>
      </c>
      <c r="J25" s="140" t="n">
        <f aca="false">IF(AND($B25=1,I25&gt;0),I25-ROW()/10^8,"")</f>
        <v>34.99999975</v>
      </c>
    </row>
    <row r="26" customFormat="false" ht="15" hidden="false" customHeight="false" outlineLevel="0" collapsed="false">
      <c r="A26" s="140" t="str">
        <f aca="false">IF(Candidates!A26="","",Candidates!A26)</f>
        <v>CAN-2026-00025</v>
      </c>
      <c r="B26" s="140" t="n">
        <f aca="false">IF(Candidates!A26="","",IF(AND(Candidates!M26&lt;&gt;"Hired",Candidates!N26&lt;&gt;"Do Not Contact",Candidates!Q26="Yes"),1,0))</f>
        <v>1</v>
      </c>
      <c r="C26" s="140" t="n">
        <f aca="false">IF($B26&lt;&gt;1,"",IF('Find Candidates'!$B$11=0,0,SUMPRODUCT(('Find Candidates'!$B$10:$F$10&lt;&gt;"")*ISNUMBER(SEARCH('Find Candidates'!$B$10:$F$10,Candidates!G26)))/'Find Candidates'!$B$11))</f>
        <v>0</v>
      </c>
      <c r="D26" s="140" t="n">
        <f aca="false">IF($B26&lt;&gt;1,"",IF(N('Find Candidates'!$B$7)=0,1,MIN(1,Candidates!H26/'Find Candidates'!$B$7)))</f>
        <v>0.6</v>
      </c>
      <c r="E26" s="140" t="n">
        <f aca="false">IF($B26&lt;&gt;1,"",IF(Candidates!F26='Find Candidates'!$B$6,1,0))</f>
        <v>0</v>
      </c>
      <c r="F26" s="140" t="n">
        <f aca="false">IF($B26&lt;&gt;1,"",IF(Candidates!J26='Find Candidates'!$B$8,1,0))</f>
        <v>0</v>
      </c>
      <c r="G26" s="140" t="n">
        <f aca="false">IF($B26&lt;&gt;1,"",IF(Candidates!K26&lt;=30,1,IF(Candidates!K26&lt;=60,0.5,0)))</f>
        <v>1</v>
      </c>
      <c r="H26" s="140" t="n">
        <f aca="false">IF($B26&lt;&gt;1,"",IF(Candidates!I26&lt;='Find Candidates'!$B$9,1,0))</f>
        <v>1</v>
      </c>
      <c r="I26" s="140" t="n">
        <f aca="false">IF($B26=1,C26*'Find Candidates'!$B$15+D26*'Find Candidates'!$B$16+E26*'Find Candidates'!$B$17+F26*'Find Candidates'!$B$18+G26*'Find Candidates'!$B$19+H26*'Find Candidates'!$B$20,0)</f>
        <v>25</v>
      </c>
      <c r="J26" s="140" t="n">
        <f aca="false">IF(AND($B26=1,I26&gt;0),I26-ROW()/10^8,"")</f>
        <v>24.99999974</v>
      </c>
    </row>
    <row r="27" customFormat="false" ht="15" hidden="false" customHeight="false" outlineLevel="0" collapsed="false">
      <c r="A27" s="140" t="str">
        <f aca="false">IF(Candidates!A27="","",Candidates!A27)</f>
        <v>CAN-2026-00026</v>
      </c>
      <c r="B27" s="140" t="n">
        <f aca="false">IF(Candidates!A27="","",IF(AND(Candidates!M27&lt;&gt;"Hired",Candidates!N27&lt;&gt;"Do Not Contact",Candidates!Q27="Yes"),1,0))</f>
        <v>1</v>
      </c>
      <c r="C27" s="140" t="n">
        <f aca="false">IF($B27&lt;&gt;1,"",IF('Find Candidates'!$B$11=0,0,SUMPRODUCT(('Find Candidates'!$B$10:$F$10&lt;&gt;"")*ISNUMBER(SEARCH('Find Candidates'!$B$10:$F$10,Candidates!G27)))/'Find Candidates'!$B$11))</f>
        <v>0</v>
      </c>
      <c r="D27" s="140" t="n">
        <f aca="false">IF($B27&lt;&gt;1,"",IF(N('Find Candidates'!$B$7)=0,1,MIN(1,Candidates!H27/'Find Candidates'!$B$7)))</f>
        <v>1</v>
      </c>
      <c r="E27" s="140" t="n">
        <f aca="false">IF($B27&lt;&gt;1,"",IF(Candidates!F27='Find Candidates'!$B$6,1,0))</f>
        <v>0</v>
      </c>
      <c r="F27" s="140" t="n">
        <f aca="false">IF($B27&lt;&gt;1,"",IF(Candidates!J27='Find Candidates'!$B$8,1,0))</f>
        <v>0</v>
      </c>
      <c r="G27" s="140" t="n">
        <f aca="false">IF($B27&lt;&gt;1,"",IF(Candidates!K27&lt;=30,1,IF(Candidates!K27&lt;=60,0.5,0)))</f>
        <v>1</v>
      </c>
      <c r="H27" s="140" t="n">
        <f aca="false">IF($B27&lt;&gt;1,"",IF(Candidates!I27&lt;='Find Candidates'!$B$9,1,0))</f>
        <v>1</v>
      </c>
      <c r="I27" s="140" t="n">
        <f aca="false">IF($B27=1,C27*'Find Candidates'!$B$15+D27*'Find Candidates'!$B$16+E27*'Find Candidates'!$B$17+F27*'Find Candidates'!$B$18+G27*'Find Candidates'!$B$19+H27*'Find Candidates'!$B$20,0)</f>
        <v>35</v>
      </c>
      <c r="J27" s="140" t="n">
        <f aca="false">IF(AND($B27=1,I27&gt;0),I27-ROW()/10^8,"")</f>
        <v>34.99999973</v>
      </c>
    </row>
    <row r="28" customFormat="false" ht="15" hidden="false" customHeight="false" outlineLevel="0" collapsed="false">
      <c r="A28" s="140" t="str">
        <f aca="false">IF(Candidates!A28="","",Candidates!A28)</f>
        <v>CAN-2026-00027</v>
      </c>
      <c r="B28" s="140" t="n">
        <f aca="false">IF(Candidates!A28="","",IF(AND(Candidates!M28&lt;&gt;"Hired",Candidates!N28&lt;&gt;"Do Not Contact",Candidates!Q28="Yes"),1,0))</f>
        <v>0</v>
      </c>
      <c r="C28" s="140" t="str">
        <f aca="false">IF($B28&lt;&gt;1,"",IF('Find Candidates'!$B$11=0,0,SUMPRODUCT(('Find Candidates'!$B$10:$F$10&lt;&gt;"")*ISNUMBER(SEARCH('Find Candidates'!$B$10:$F$10,Candidates!G28)))/'Find Candidates'!$B$11))</f>
        <v/>
      </c>
      <c r="D28" s="140" t="str">
        <f aca="false">IF($B28&lt;&gt;1,"",IF(N('Find Candidates'!$B$7)=0,1,MIN(1,Candidates!H28/'Find Candidates'!$B$7)))</f>
        <v/>
      </c>
      <c r="E28" s="140" t="str">
        <f aca="false">IF($B28&lt;&gt;1,"",IF(Candidates!F28='Find Candidates'!$B$6,1,0))</f>
        <v/>
      </c>
      <c r="F28" s="140" t="str">
        <f aca="false">IF($B28&lt;&gt;1,"",IF(Candidates!J28='Find Candidates'!$B$8,1,0))</f>
        <v/>
      </c>
      <c r="G28" s="140" t="str">
        <f aca="false">IF($B28&lt;&gt;1,"",IF(Candidates!K28&lt;=30,1,IF(Candidates!K28&lt;=60,0.5,0)))</f>
        <v/>
      </c>
      <c r="H28" s="140" t="str">
        <f aca="false">IF($B28&lt;&gt;1,"",IF(Candidates!I28&lt;='Find Candidates'!$B$9,1,0))</f>
        <v/>
      </c>
      <c r="I28" s="140" t="n">
        <f aca="false">IF($B28=1,C28*'Find Candidates'!$B$15+D28*'Find Candidates'!$B$16+E28*'Find Candidates'!$B$17+F28*'Find Candidates'!$B$18+G28*'Find Candidates'!$B$19+H28*'Find Candidates'!$B$20,0)</f>
        <v>0</v>
      </c>
      <c r="J28" s="140" t="str">
        <f aca="false">IF(AND($B28=1,I28&gt;0),I28-ROW()/10^8,"")</f>
        <v/>
      </c>
    </row>
    <row r="29" customFormat="false" ht="15" hidden="false" customHeight="false" outlineLevel="0" collapsed="false">
      <c r="A29" s="140" t="str">
        <f aca="false">IF(Candidates!A29="","",Candidates!A29)</f>
        <v>CAN-2026-00028</v>
      </c>
      <c r="B29" s="140" t="n">
        <f aca="false">IF(Candidates!A29="","",IF(AND(Candidates!M29&lt;&gt;"Hired",Candidates!N29&lt;&gt;"Do Not Contact",Candidates!Q29="Yes"),1,0))</f>
        <v>1</v>
      </c>
      <c r="C29" s="140" t="n">
        <f aca="false">IF($B29&lt;&gt;1,"",IF('Find Candidates'!$B$11=0,0,SUMPRODUCT(('Find Candidates'!$B$10:$F$10&lt;&gt;"")*ISNUMBER(SEARCH('Find Candidates'!$B$10:$F$10,Candidates!G29)))/'Find Candidates'!$B$11))</f>
        <v>0.2</v>
      </c>
      <c r="D29" s="140" t="n">
        <f aca="false">IF($B29&lt;&gt;1,"",IF(N('Find Candidates'!$B$7)=0,1,MIN(1,Candidates!H29/'Find Candidates'!$B$7)))</f>
        <v>1</v>
      </c>
      <c r="E29" s="140" t="n">
        <f aca="false">IF($B29&lt;&gt;1,"",IF(Candidates!F29='Find Candidates'!$B$6,1,0))</f>
        <v>0</v>
      </c>
      <c r="F29" s="140" t="n">
        <f aca="false">IF($B29&lt;&gt;1,"",IF(Candidates!J29='Find Candidates'!$B$8,1,0))</f>
        <v>0</v>
      </c>
      <c r="G29" s="140" t="n">
        <f aca="false">IF($B29&lt;&gt;1,"",IF(Candidates!K29&lt;=30,1,IF(Candidates!K29&lt;=60,0.5,0)))</f>
        <v>1</v>
      </c>
      <c r="H29" s="140" t="n">
        <f aca="false">IF($B29&lt;&gt;1,"",IF(Candidates!I29&lt;='Find Candidates'!$B$9,1,0))</f>
        <v>1</v>
      </c>
      <c r="I29" s="140" t="n">
        <f aca="false">IF($B29=1,C29*'Find Candidates'!$B$15+D29*'Find Candidates'!$B$16+E29*'Find Candidates'!$B$17+F29*'Find Candidates'!$B$18+G29*'Find Candidates'!$B$19+H29*'Find Candidates'!$B$20,0)</f>
        <v>43</v>
      </c>
      <c r="J29" s="140" t="n">
        <f aca="false">IF(AND($B29=1,I29&gt;0),I29-ROW()/10^8,"")</f>
        <v>42.99999971</v>
      </c>
    </row>
    <row r="30" customFormat="false" ht="15" hidden="false" customHeight="false" outlineLevel="0" collapsed="false">
      <c r="A30" s="140" t="str">
        <f aca="false">IF(Candidates!A30="","",Candidates!A30)</f>
        <v>CAN-2026-00029</v>
      </c>
      <c r="B30" s="140" t="n">
        <f aca="false">IF(Candidates!A30="","",IF(AND(Candidates!M30&lt;&gt;"Hired",Candidates!N30&lt;&gt;"Do Not Contact",Candidates!Q30="Yes"),1,0))</f>
        <v>0</v>
      </c>
      <c r="C30" s="140" t="str">
        <f aca="false">IF($B30&lt;&gt;1,"",IF('Find Candidates'!$B$11=0,0,SUMPRODUCT(('Find Candidates'!$B$10:$F$10&lt;&gt;"")*ISNUMBER(SEARCH('Find Candidates'!$B$10:$F$10,Candidates!G30)))/'Find Candidates'!$B$11))</f>
        <v/>
      </c>
      <c r="D30" s="140" t="str">
        <f aca="false">IF($B30&lt;&gt;1,"",IF(N('Find Candidates'!$B$7)=0,1,MIN(1,Candidates!H30/'Find Candidates'!$B$7)))</f>
        <v/>
      </c>
      <c r="E30" s="140" t="str">
        <f aca="false">IF($B30&lt;&gt;1,"",IF(Candidates!F30='Find Candidates'!$B$6,1,0))</f>
        <v/>
      </c>
      <c r="F30" s="140" t="str">
        <f aca="false">IF($B30&lt;&gt;1,"",IF(Candidates!J30='Find Candidates'!$B$8,1,0))</f>
        <v/>
      </c>
      <c r="G30" s="140" t="str">
        <f aca="false">IF($B30&lt;&gt;1,"",IF(Candidates!K30&lt;=30,1,IF(Candidates!K30&lt;=60,0.5,0)))</f>
        <v/>
      </c>
      <c r="H30" s="140" t="str">
        <f aca="false">IF($B30&lt;&gt;1,"",IF(Candidates!I30&lt;='Find Candidates'!$B$9,1,0))</f>
        <v/>
      </c>
      <c r="I30" s="140" t="n">
        <f aca="false">IF($B30=1,C30*'Find Candidates'!$B$15+D30*'Find Candidates'!$B$16+E30*'Find Candidates'!$B$17+F30*'Find Candidates'!$B$18+G30*'Find Candidates'!$B$19+H30*'Find Candidates'!$B$20,0)</f>
        <v>0</v>
      </c>
      <c r="J30" s="140" t="str">
        <f aca="false">IF(AND($B30=1,I30&gt;0),I30-ROW()/10^8,"")</f>
        <v/>
      </c>
    </row>
    <row r="31" customFormat="false" ht="15" hidden="false" customHeight="false" outlineLevel="0" collapsed="false">
      <c r="A31" s="140" t="str">
        <f aca="false">IF(Candidates!A31="","",Candidates!A31)</f>
        <v>CAN-2026-00030</v>
      </c>
      <c r="B31" s="140" t="n">
        <f aca="false">IF(Candidates!A31="","",IF(AND(Candidates!M31&lt;&gt;"Hired",Candidates!N31&lt;&gt;"Do Not Contact",Candidates!Q31="Yes"),1,0))</f>
        <v>0</v>
      </c>
      <c r="C31" s="140" t="str">
        <f aca="false">IF($B31&lt;&gt;1,"",IF('Find Candidates'!$B$11=0,0,SUMPRODUCT(('Find Candidates'!$B$10:$F$10&lt;&gt;"")*ISNUMBER(SEARCH('Find Candidates'!$B$10:$F$10,Candidates!G31)))/'Find Candidates'!$B$11))</f>
        <v/>
      </c>
      <c r="D31" s="140" t="str">
        <f aca="false">IF($B31&lt;&gt;1,"",IF(N('Find Candidates'!$B$7)=0,1,MIN(1,Candidates!H31/'Find Candidates'!$B$7)))</f>
        <v/>
      </c>
      <c r="E31" s="140" t="str">
        <f aca="false">IF($B31&lt;&gt;1,"",IF(Candidates!F31='Find Candidates'!$B$6,1,0))</f>
        <v/>
      </c>
      <c r="F31" s="140" t="str">
        <f aca="false">IF($B31&lt;&gt;1,"",IF(Candidates!J31='Find Candidates'!$B$8,1,0))</f>
        <v/>
      </c>
      <c r="G31" s="140" t="str">
        <f aca="false">IF($B31&lt;&gt;1,"",IF(Candidates!K31&lt;=30,1,IF(Candidates!K31&lt;=60,0.5,0)))</f>
        <v/>
      </c>
      <c r="H31" s="140" t="str">
        <f aca="false">IF($B31&lt;&gt;1,"",IF(Candidates!I31&lt;='Find Candidates'!$B$9,1,0))</f>
        <v/>
      </c>
      <c r="I31" s="140" t="n">
        <f aca="false">IF($B31=1,C31*'Find Candidates'!$B$15+D31*'Find Candidates'!$B$16+E31*'Find Candidates'!$B$17+F31*'Find Candidates'!$B$18+G31*'Find Candidates'!$B$19+H31*'Find Candidates'!$B$20,0)</f>
        <v>0</v>
      </c>
      <c r="J31" s="140" t="str">
        <f aca="false">IF(AND($B31=1,I31&gt;0),I31-ROW()/10^8,"")</f>
        <v/>
      </c>
    </row>
    <row r="32" customFormat="false" ht="15" hidden="false" customHeight="false" outlineLevel="0" collapsed="false">
      <c r="A32" s="140" t="str">
        <f aca="false">IF(Candidates!A32="","",Candidates!A32)</f>
        <v>CAN-2026-00031</v>
      </c>
      <c r="B32" s="140" t="n">
        <f aca="false">IF(Candidates!A32="","",IF(AND(Candidates!M32&lt;&gt;"Hired",Candidates!N32&lt;&gt;"Do Not Contact",Candidates!Q32="Yes"),1,0))</f>
        <v>1</v>
      </c>
      <c r="C32" s="140" t="n">
        <f aca="false">IF($B32&lt;&gt;1,"",IF('Find Candidates'!$B$11=0,0,SUMPRODUCT(('Find Candidates'!$B$10:$F$10&lt;&gt;"")*ISNUMBER(SEARCH('Find Candidates'!$B$10:$F$10,Candidates!G32)))/'Find Candidates'!$B$11))</f>
        <v>0</v>
      </c>
      <c r="D32" s="140" t="n">
        <f aca="false">IF($B32&lt;&gt;1,"",IF(N('Find Candidates'!$B$7)=0,1,MIN(1,Candidates!H32/'Find Candidates'!$B$7)))</f>
        <v>1</v>
      </c>
      <c r="E32" s="140" t="n">
        <f aca="false">IF($B32&lt;&gt;1,"",IF(Candidates!F32='Find Candidates'!$B$6,1,0))</f>
        <v>0</v>
      </c>
      <c r="F32" s="140" t="n">
        <f aca="false">IF($B32&lt;&gt;1,"",IF(Candidates!J32='Find Candidates'!$B$8,1,0))</f>
        <v>0</v>
      </c>
      <c r="G32" s="140" t="n">
        <f aca="false">IF($B32&lt;&gt;1,"",IF(Candidates!K32&lt;=30,1,IF(Candidates!K32&lt;=60,0.5,0)))</f>
        <v>0.5</v>
      </c>
      <c r="H32" s="140" t="n">
        <f aca="false">IF($B32&lt;&gt;1,"",IF(Candidates!I32&lt;='Find Candidates'!$B$9,1,0))</f>
        <v>1</v>
      </c>
      <c r="I32" s="140" t="n">
        <f aca="false">IF($B32=1,C32*'Find Candidates'!$B$15+D32*'Find Candidates'!$B$16+E32*'Find Candidates'!$B$17+F32*'Find Candidates'!$B$18+G32*'Find Candidates'!$B$19+H32*'Find Candidates'!$B$20,0)</f>
        <v>32.5</v>
      </c>
      <c r="J32" s="140" t="n">
        <f aca="false">IF(AND($B32=1,I32&gt;0),I32-ROW()/10^8,"")</f>
        <v>32.49999968</v>
      </c>
    </row>
    <row r="33" customFormat="false" ht="15" hidden="false" customHeight="false" outlineLevel="0" collapsed="false">
      <c r="A33" s="140" t="str">
        <f aca="false">IF(Candidates!A33="","",Candidates!A33)</f>
        <v>CAN-2026-00032</v>
      </c>
      <c r="B33" s="140" t="n">
        <f aca="false">IF(Candidates!A33="","",IF(AND(Candidates!M33&lt;&gt;"Hired",Candidates!N33&lt;&gt;"Do Not Contact",Candidates!Q33="Yes"),1,0))</f>
        <v>0</v>
      </c>
      <c r="C33" s="140" t="str">
        <f aca="false">IF($B33&lt;&gt;1,"",IF('Find Candidates'!$B$11=0,0,SUMPRODUCT(('Find Candidates'!$B$10:$F$10&lt;&gt;"")*ISNUMBER(SEARCH('Find Candidates'!$B$10:$F$10,Candidates!G33)))/'Find Candidates'!$B$11))</f>
        <v/>
      </c>
      <c r="D33" s="140" t="str">
        <f aca="false">IF($B33&lt;&gt;1,"",IF(N('Find Candidates'!$B$7)=0,1,MIN(1,Candidates!H33/'Find Candidates'!$B$7)))</f>
        <v/>
      </c>
      <c r="E33" s="140" t="str">
        <f aca="false">IF($B33&lt;&gt;1,"",IF(Candidates!F33='Find Candidates'!$B$6,1,0))</f>
        <v/>
      </c>
      <c r="F33" s="140" t="str">
        <f aca="false">IF($B33&lt;&gt;1,"",IF(Candidates!J33='Find Candidates'!$B$8,1,0))</f>
        <v/>
      </c>
      <c r="G33" s="140" t="str">
        <f aca="false">IF($B33&lt;&gt;1,"",IF(Candidates!K33&lt;=30,1,IF(Candidates!K33&lt;=60,0.5,0)))</f>
        <v/>
      </c>
      <c r="H33" s="140" t="str">
        <f aca="false">IF($B33&lt;&gt;1,"",IF(Candidates!I33&lt;='Find Candidates'!$B$9,1,0))</f>
        <v/>
      </c>
      <c r="I33" s="140" t="n">
        <f aca="false">IF($B33=1,C33*'Find Candidates'!$B$15+D33*'Find Candidates'!$B$16+E33*'Find Candidates'!$B$17+F33*'Find Candidates'!$B$18+G33*'Find Candidates'!$B$19+H33*'Find Candidates'!$B$20,0)</f>
        <v>0</v>
      </c>
      <c r="J33" s="140" t="str">
        <f aca="false">IF(AND($B33=1,I33&gt;0),I33-ROW()/10^8,"")</f>
        <v/>
      </c>
    </row>
    <row r="34" customFormat="false" ht="15" hidden="false" customHeight="false" outlineLevel="0" collapsed="false">
      <c r="A34" s="140" t="str">
        <f aca="false">IF(Candidates!A34="","",Candidates!A34)</f>
        <v>CAN-2026-00033</v>
      </c>
      <c r="B34" s="140" t="n">
        <f aca="false">IF(Candidates!A34="","",IF(AND(Candidates!M34&lt;&gt;"Hired",Candidates!N34&lt;&gt;"Do Not Contact",Candidates!Q34="Yes"),1,0))</f>
        <v>0</v>
      </c>
      <c r="C34" s="140" t="str">
        <f aca="false">IF($B34&lt;&gt;1,"",IF('Find Candidates'!$B$11=0,0,SUMPRODUCT(('Find Candidates'!$B$10:$F$10&lt;&gt;"")*ISNUMBER(SEARCH('Find Candidates'!$B$10:$F$10,Candidates!G34)))/'Find Candidates'!$B$11))</f>
        <v/>
      </c>
      <c r="D34" s="140" t="str">
        <f aca="false">IF($B34&lt;&gt;1,"",IF(N('Find Candidates'!$B$7)=0,1,MIN(1,Candidates!H34/'Find Candidates'!$B$7)))</f>
        <v/>
      </c>
      <c r="E34" s="140" t="str">
        <f aca="false">IF($B34&lt;&gt;1,"",IF(Candidates!F34='Find Candidates'!$B$6,1,0))</f>
        <v/>
      </c>
      <c r="F34" s="140" t="str">
        <f aca="false">IF($B34&lt;&gt;1,"",IF(Candidates!J34='Find Candidates'!$B$8,1,0))</f>
        <v/>
      </c>
      <c r="G34" s="140" t="str">
        <f aca="false">IF($B34&lt;&gt;1,"",IF(Candidates!K34&lt;=30,1,IF(Candidates!K34&lt;=60,0.5,0)))</f>
        <v/>
      </c>
      <c r="H34" s="140" t="str">
        <f aca="false">IF($B34&lt;&gt;1,"",IF(Candidates!I34&lt;='Find Candidates'!$B$9,1,0))</f>
        <v/>
      </c>
      <c r="I34" s="140" t="n">
        <f aca="false">IF($B34=1,C34*'Find Candidates'!$B$15+D34*'Find Candidates'!$B$16+E34*'Find Candidates'!$B$17+F34*'Find Candidates'!$B$18+G34*'Find Candidates'!$B$19+H34*'Find Candidates'!$B$20,0)</f>
        <v>0</v>
      </c>
      <c r="J34" s="140" t="str">
        <f aca="false">IF(AND($B34=1,I34&gt;0),I34-ROW()/10^8,"")</f>
        <v/>
      </c>
    </row>
    <row r="35" customFormat="false" ht="15" hidden="false" customHeight="false" outlineLevel="0" collapsed="false">
      <c r="A35" s="140" t="str">
        <f aca="false">IF(Candidates!A35="","",Candidates!A35)</f>
        <v>CAN-2026-00034</v>
      </c>
      <c r="B35" s="140" t="n">
        <f aca="false">IF(Candidates!A35="","",IF(AND(Candidates!M35&lt;&gt;"Hired",Candidates!N35&lt;&gt;"Do Not Contact",Candidates!Q35="Yes"),1,0))</f>
        <v>1</v>
      </c>
      <c r="C35" s="140" t="n">
        <f aca="false">IF($B35&lt;&gt;1,"",IF('Find Candidates'!$B$11=0,0,SUMPRODUCT(('Find Candidates'!$B$10:$F$10&lt;&gt;"")*ISNUMBER(SEARCH('Find Candidates'!$B$10:$F$10,Candidates!G35)))/'Find Candidates'!$B$11))</f>
        <v>0.4</v>
      </c>
      <c r="D35" s="140" t="n">
        <f aca="false">IF($B35&lt;&gt;1,"",IF(N('Find Candidates'!$B$7)=0,1,MIN(1,Candidates!H35/'Find Candidates'!$B$7)))</f>
        <v>1</v>
      </c>
      <c r="E35" s="140" t="n">
        <f aca="false">IF($B35&lt;&gt;1,"",IF(Candidates!F35='Find Candidates'!$B$6,1,0))</f>
        <v>0</v>
      </c>
      <c r="F35" s="140" t="n">
        <f aca="false">IF($B35&lt;&gt;1,"",IF(Candidates!J35='Find Candidates'!$B$8,1,0))</f>
        <v>0</v>
      </c>
      <c r="G35" s="140" t="n">
        <f aca="false">IF($B35&lt;&gt;1,"",IF(Candidates!K35&lt;=30,1,IF(Candidates!K35&lt;=60,0.5,0)))</f>
        <v>0.5</v>
      </c>
      <c r="H35" s="140" t="n">
        <f aca="false">IF($B35&lt;&gt;1,"",IF(Candidates!I35&lt;='Find Candidates'!$B$9,1,0))</f>
        <v>1</v>
      </c>
      <c r="I35" s="140" t="n">
        <f aca="false">IF($B35=1,C35*'Find Candidates'!$B$15+D35*'Find Candidates'!$B$16+E35*'Find Candidates'!$B$17+F35*'Find Candidates'!$B$18+G35*'Find Candidates'!$B$19+H35*'Find Candidates'!$B$20,0)</f>
        <v>48.5</v>
      </c>
      <c r="J35" s="140" t="n">
        <f aca="false">IF(AND($B35=1,I35&gt;0),I35-ROW()/10^8,"")</f>
        <v>48.49999965</v>
      </c>
    </row>
    <row r="36" customFormat="false" ht="15" hidden="false" customHeight="false" outlineLevel="0" collapsed="false">
      <c r="A36" s="140" t="str">
        <f aca="false">IF(Candidates!A36="","",Candidates!A36)</f>
        <v>CAN-2026-00035</v>
      </c>
      <c r="B36" s="140" t="n">
        <f aca="false">IF(Candidates!A36="","",IF(AND(Candidates!M36&lt;&gt;"Hired",Candidates!N36&lt;&gt;"Do Not Contact",Candidates!Q36="Yes"),1,0))</f>
        <v>0</v>
      </c>
      <c r="C36" s="140" t="str">
        <f aca="false">IF($B36&lt;&gt;1,"",IF('Find Candidates'!$B$11=0,0,SUMPRODUCT(('Find Candidates'!$B$10:$F$10&lt;&gt;"")*ISNUMBER(SEARCH('Find Candidates'!$B$10:$F$10,Candidates!G36)))/'Find Candidates'!$B$11))</f>
        <v/>
      </c>
      <c r="D36" s="140" t="str">
        <f aca="false">IF($B36&lt;&gt;1,"",IF(N('Find Candidates'!$B$7)=0,1,MIN(1,Candidates!H36/'Find Candidates'!$B$7)))</f>
        <v/>
      </c>
      <c r="E36" s="140" t="str">
        <f aca="false">IF($B36&lt;&gt;1,"",IF(Candidates!F36='Find Candidates'!$B$6,1,0))</f>
        <v/>
      </c>
      <c r="F36" s="140" t="str">
        <f aca="false">IF($B36&lt;&gt;1,"",IF(Candidates!J36='Find Candidates'!$B$8,1,0))</f>
        <v/>
      </c>
      <c r="G36" s="140" t="str">
        <f aca="false">IF($B36&lt;&gt;1,"",IF(Candidates!K36&lt;=30,1,IF(Candidates!K36&lt;=60,0.5,0)))</f>
        <v/>
      </c>
      <c r="H36" s="140" t="str">
        <f aca="false">IF($B36&lt;&gt;1,"",IF(Candidates!I36&lt;='Find Candidates'!$B$9,1,0))</f>
        <v/>
      </c>
      <c r="I36" s="140" t="n">
        <f aca="false">IF($B36=1,C36*'Find Candidates'!$B$15+D36*'Find Candidates'!$B$16+E36*'Find Candidates'!$B$17+F36*'Find Candidates'!$B$18+G36*'Find Candidates'!$B$19+H36*'Find Candidates'!$B$20,0)</f>
        <v>0</v>
      </c>
      <c r="J36" s="140" t="str">
        <f aca="false">IF(AND($B36=1,I36&gt;0),I36-ROW()/10^8,"")</f>
        <v/>
      </c>
    </row>
    <row r="37" customFormat="false" ht="15" hidden="false" customHeight="false" outlineLevel="0" collapsed="false">
      <c r="A37" s="140" t="str">
        <f aca="false">IF(Candidates!A37="","",Candidates!A37)</f>
        <v>CAN-2026-00036</v>
      </c>
      <c r="B37" s="140" t="n">
        <f aca="false">IF(Candidates!A37="","",IF(AND(Candidates!M37&lt;&gt;"Hired",Candidates!N37&lt;&gt;"Do Not Contact",Candidates!Q37="Yes"),1,0))</f>
        <v>1</v>
      </c>
      <c r="C37" s="140" t="n">
        <f aca="false">IF($B37&lt;&gt;1,"",IF('Find Candidates'!$B$11=0,0,SUMPRODUCT(('Find Candidates'!$B$10:$F$10&lt;&gt;"")*ISNUMBER(SEARCH('Find Candidates'!$B$10:$F$10,Candidates!G37)))/'Find Candidates'!$B$11))</f>
        <v>0.2</v>
      </c>
      <c r="D37" s="140" t="n">
        <f aca="false">IF($B37&lt;&gt;1,"",IF(N('Find Candidates'!$B$7)=0,1,MIN(1,Candidates!H37/'Find Candidates'!$B$7)))</f>
        <v>1</v>
      </c>
      <c r="E37" s="140" t="n">
        <f aca="false">IF($B37&lt;&gt;1,"",IF(Candidates!F37='Find Candidates'!$B$6,1,0))</f>
        <v>0</v>
      </c>
      <c r="F37" s="140" t="n">
        <f aca="false">IF($B37&lt;&gt;1,"",IF(Candidates!J37='Find Candidates'!$B$8,1,0))</f>
        <v>0</v>
      </c>
      <c r="G37" s="140" t="n">
        <f aca="false">IF($B37&lt;&gt;1,"",IF(Candidates!K37&lt;=30,1,IF(Candidates!K37&lt;=60,0.5,0)))</f>
        <v>1</v>
      </c>
      <c r="H37" s="140" t="n">
        <f aca="false">IF($B37&lt;&gt;1,"",IF(Candidates!I37&lt;='Find Candidates'!$B$9,1,0))</f>
        <v>0</v>
      </c>
      <c r="I37" s="140" t="n">
        <f aca="false">IF($B37=1,C37*'Find Candidates'!$B$15+D37*'Find Candidates'!$B$16+E37*'Find Candidates'!$B$17+F37*'Find Candidates'!$B$18+G37*'Find Candidates'!$B$19+H37*'Find Candidates'!$B$20,0)</f>
        <v>38</v>
      </c>
      <c r="J37" s="140" t="n">
        <f aca="false">IF(AND($B37=1,I37&gt;0),I37-ROW()/10^8,"")</f>
        <v>37.99999963</v>
      </c>
    </row>
    <row r="38" customFormat="false" ht="15" hidden="false" customHeight="false" outlineLevel="0" collapsed="false">
      <c r="A38" s="140" t="str">
        <f aca="false">IF(Candidates!A38="","",Candidates!A38)</f>
        <v>CAN-2026-00037</v>
      </c>
      <c r="B38" s="140" t="n">
        <f aca="false">IF(Candidates!A38="","",IF(AND(Candidates!M38&lt;&gt;"Hired",Candidates!N38&lt;&gt;"Do Not Contact",Candidates!Q38="Yes"),1,0))</f>
        <v>1</v>
      </c>
      <c r="C38" s="140" t="n">
        <f aca="false">IF($B38&lt;&gt;1,"",IF('Find Candidates'!$B$11=0,0,SUMPRODUCT(('Find Candidates'!$B$10:$F$10&lt;&gt;"")*ISNUMBER(SEARCH('Find Candidates'!$B$10:$F$10,Candidates!G38)))/'Find Candidates'!$B$11))</f>
        <v>0</v>
      </c>
      <c r="D38" s="140" t="n">
        <f aca="false">IF($B38&lt;&gt;1,"",IF(N('Find Candidates'!$B$7)=0,1,MIN(1,Candidates!H38/'Find Candidates'!$B$7)))</f>
        <v>1</v>
      </c>
      <c r="E38" s="140" t="n">
        <f aca="false">IF($B38&lt;&gt;1,"",IF(Candidates!F38='Find Candidates'!$B$6,1,0))</f>
        <v>0</v>
      </c>
      <c r="F38" s="140" t="n">
        <f aca="false">IF($B38&lt;&gt;1,"",IF(Candidates!J38='Find Candidates'!$B$8,1,0))</f>
        <v>1</v>
      </c>
      <c r="G38" s="140" t="n">
        <f aca="false">IF($B38&lt;&gt;1,"",IF(Candidates!K38&lt;=30,1,IF(Candidates!K38&lt;=60,0.5,0)))</f>
        <v>1</v>
      </c>
      <c r="H38" s="140" t="n">
        <f aca="false">IF($B38&lt;&gt;1,"",IF(Candidates!I38&lt;='Find Candidates'!$B$9,1,0))</f>
        <v>0</v>
      </c>
      <c r="I38" s="140" t="n">
        <f aca="false">IF($B38=1,C38*'Find Candidates'!$B$15+D38*'Find Candidates'!$B$16+E38*'Find Candidates'!$B$17+F38*'Find Candidates'!$B$18+G38*'Find Candidates'!$B$19+H38*'Find Candidates'!$B$20,0)</f>
        <v>40</v>
      </c>
      <c r="J38" s="140" t="n">
        <f aca="false">IF(AND($B38=1,I38&gt;0),I38-ROW()/10^8,"")</f>
        <v>39.99999962</v>
      </c>
    </row>
    <row r="39" customFormat="false" ht="15" hidden="false" customHeight="false" outlineLevel="0" collapsed="false">
      <c r="A39" s="140" t="str">
        <f aca="false">IF(Candidates!A39="","",Candidates!A39)</f>
        <v>CAN-2026-00038</v>
      </c>
      <c r="B39" s="140" t="n">
        <f aca="false">IF(Candidates!A39="","",IF(AND(Candidates!M39&lt;&gt;"Hired",Candidates!N39&lt;&gt;"Do Not Contact",Candidates!Q39="Yes"),1,0))</f>
        <v>1</v>
      </c>
      <c r="C39" s="140" t="n">
        <f aca="false">IF($B39&lt;&gt;1,"",IF('Find Candidates'!$B$11=0,0,SUMPRODUCT(('Find Candidates'!$B$10:$F$10&lt;&gt;"")*ISNUMBER(SEARCH('Find Candidates'!$B$10:$F$10,Candidates!G39)))/'Find Candidates'!$B$11))</f>
        <v>0.2</v>
      </c>
      <c r="D39" s="140" t="n">
        <f aca="false">IF($B39&lt;&gt;1,"",IF(N('Find Candidates'!$B$7)=0,1,MIN(1,Candidates!H39/'Find Candidates'!$B$7)))</f>
        <v>1</v>
      </c>
      <c r="E39" s="140" t="n">
        <f aca="false">IF($B39&lt;&gt;1,"",IF(Candidates!F39='Find Candidates'!$B$6,1,0))</f>
        <v>0</v>
      </c>
      <c r="F39" s="140" t="n">
        <f aca="false">IF($B39&lt;&gt;1,"",IF(Candidates!J39='Find Candidates'!$B$8,1,0))</f>
        <v>1</v>
      </c>
      <c r="G39" s="140" t="n">
        <f aca="false">IF($B39&lt;&gt;1,"",IF(Candidates!K39&lt;=30,1,IF(Candidates!K39&lt;=60,0.5,0)))</f>
        <v>1</v>
      </c>
      <c r="H39" s="140" t="n">
        <f aca="false">IF($B39&lt;&gt;1,"",IF(Candidates!I39&lt;='Find Candidates'!$B$9,1,0))</f>
        <v>1</v>
      </c>
      <c r="I39" s="140" t="n">
        <f aca="false">IF($B39=1,C39*'Find Candidates'!$B$15+D39*'Find Candidates'!$B$16+E39*'Find Candidates'!$B$17+F39*'Find Candidates'!$B$18+G39*'Find Candidates'!$B$19+H39*'Find Candidates'!$B$20,0)</f>
        <v>53</v>
      </c>
      <c r="J39" s="140" t="n">
        <f aca="false">IF(AND($B39=1,I39&gt;0),I39-ROW()/10^8,"")</f>
        <v>52.99999961</v>
      </c>
    </row>
    <row r="40" customFormat="false" ht="15" hidden="false" customHeight="false" outlineLevel="0" collapsed="false">
      <c r="A40" s="140" t="str">
        <f aca="false">IF(Candidates!A40="","",Candidates!A40)</f>
        <v>CAN-2026-00039</v>
      </c>
      <c r="B40" s="140" t="n">
        <f aca="false">IF(Candidates!A40="","",IF(AND(Candidates!M40&lt;&gt;"Hired",Candidates!N40&lt;&gt;"Do Not Contact",Candidates!Q40="Yes"),1,0))</f>
        <v>1</v>
      </c>
      <c r="C40" s="140" t="n">
        <f aca="false">IF($B40&lt;&gt;1,"",IF('Find Candidates'!$B$11=0,0,SUMPRODUCT(('Find Candidates'!$B$10:$F$10&lt;&gt;"")*ISNUMBER(SEARCH('Find Candidates'!$B$10:$F$10,Candidates!G40)))/'Find Candidates'!$B$11))</f>
        <v>0.2</v>
      </c>
      <c r="D40" s="140" t="n">
        <f aca="false">IF($B40&lt;&gt;1,"",IF(N('Find Candidates'!$B$7)=0,1,MIN(1,Candidates!H40/'Find Candidates'!$B$7)))</f>
        <v>0.8</v>
      </c>
      <c r="E40" s="140" t="n">
        <f aca="false">IF($B40&lt;&gt;1,"",IF(Candidates!F40='Find Candidates'!$B$6,1,0))</f>
        <v>0</v>
      </c>
      <c r="F40" s="140" t="n">
        <f aca="false">IF($B40&lt;&gt;1,"",IF(Candidates!J40='Find Candidates'!$B$8,1,0))</f>
        <v>0</v>
      </c>
      <c r="G40" s="140" t="n">
        <f aca="false">IF($B40&lt;&gt;1,"",IF(Candidates!K40&lt;=30,1,IF(Candidates!K40&lt;=60,0.5,0)))</f>
        <v>1</v>
      </c>
      <c r="H40" s="140" t="n">
        <f aca="false">IF($B40&lt;&gt;1,"",IF(Candidates!I40&lt;='Find Candidates'!$B$9,1,0))</f>
        <v>1</v>
      </c>
      <c r="I40" s="140" t="n">
        <f aca="false">IF($B40=1,C40*'Find Candidates'!$B$15+D40*'Find Candidates'!$B$16+E40*'Find Candidates'!$B$17+F40*'Find Candidates'!$B$18+G40*'Find Candidates'!$B$19+H40*'Find Candidates'!$B$20,0)</f>
        <v>38</v>
      </c>
      <c r="J40" s="140" t="n">
        <f aca="false">IF(AND($B40=1,I40&gt;0),I40-ROW()/10^8,"")</f>
        <v>37.9999996</v>
      </c>
    </row>
    <row r="41" customFormat="false" ht="15" hidden="false" customHeight="false" outlineLevel="0" collapsed="false">
      <c r="A41" s="140" t="str">
        <f aca="false">IF(Candidates!A41="","",Candidates!A41)</f>
        <v>CAN-2026-00040</v>
      </c>
      <c r="B41" s="140" t="n">
        <f aca="false">IF(Candidates!A41="","",IF(AND(Candidates!M41&lt;&gt;"Hired",Candidates!N41&lt;&gt;"Do Not Contact",Candidates!Q41="Yes"),1,0))</f>
        <v>1</v>
      </c>
      <c r="C41" s="140" t="n">
        <f aca="false">IF($B41&lt;&gt;1,"",IF('Find Candidates'!$B$11=0,0,SUMPRODUCT(('Find Candidates'!$B$10:$F$10&lt;&gt;"")*ISNUMBER(SEARCH('Find Candidates'!$B$10:$F$10,Candidates!G41)))/'Find Candidates'!$B$11))</f>
        <v>0</v>
      </c>
      <c r="D41" s="140" t="n">
        <f aca="false">IF($B41&lt;&gt;1,"",IF(N('Find Candidates'!$B$7)=0,1,MIN(1,Candidates!H41/'Find Candidates'!$B$7)))</f>
        <v>0.2</v>
      </c>
      <c r="E41" s="140" t="n">
        <f aca="false">IF($B41&lt;&gt;1,"",IF(Candidates!F41='Find Candidates'!$B$6,1,0))</f>
        <v>0</v>
      </c>
      <c r="F41" s="140" t="n">
        <f aca="false">IF($B41&lt;&gt;1,"",IF(Candidates!J41='Find Candidates'!$B$8,1,0))</f>
        <v>0</v>
      </c>
      <c r="G41" s="140" t="n">
        <f aca="false">IF($B41&lt;&gt;1,"",IF(Candidates!K41&lt;=30,1,IF(Candidates!K41&lt;=60,0.5,0)))</f>
        <v>0.5</v>
      </c>
      <c r="H41" s="140" t="n">
        <f aca="false">IF($B41&lt;&gt;1,"",IF(Candidates!I41&lt;='Find Candidates'!$B$9,1,0))</f>
        <v>1</v>
      </c>
      <c r="I41" s="140" t="n">
        <f aca="false">IF($B41=1,C41*'Find Candidates'!$B$15+D41*'Find Candidates'!$B$16+E41*'Find Candidates'!$B$17+F41*'Find Candidates'!$B$18+G41*'Find Candidates'!$B$19+H41*'Find Candidates'!$B$20,0)</f>
        <v>12.5</v>
      </c>
      <c r="J41" s="140" t="n">
        <f aca="false">IF(AND($B41=1,I41&gt;0),I41-ROW()/10^8,"")</f>
        <v>12.49999959</v>
      </c>
    </row>
    <row r="42" customFormat="false" ht="15" hidden="false" customHeight="false" outlineLevel="0" collapsed="false">
      <c r="A42" s="140" t="str">
        <f aca="false">IF(Candidates!A42="","",Candidates!A42)</f>
        <v/>
      </c>
      <c r="B42" s="140" t="str">
        <f aca="false">IF(Candidates!A42="","",IF(AND(Candidates!M42&lt;&gt;"Hired",Candidates!N42&lt;&gt;"Do Not Contact",Candidates!Q42="Yes"),1,0))</f>
        <v/>
      </c>
      <c r="C42" s="140" t="str">
        <f aca="false">IF($B42&lt;&gt;1,"",IF('Find Candidates'!$B$11=0,0,SUMPRODUCT(('Find Candidates'!$B$10:$F$10&lt;&gt;"")*ISNUMBER(SEARCH('Find Candidates'!$B$10:$F$10,Candidates!G42)))/'Find Candidates'!$B$11))</f>
        <v/>
      </c>
      <c r="D42" s="140" t="str">
        <f aca="false">IF($B42&lt;&gt;1,"",IF(N('Find Candidates'!$B$7)=0,1,MIN(1,Candidates!H42/'Find Candidates'!$B$7)))</f>
        <v/>
      </c>
      <c r="E42" s="140" t="str">
        <f aca="false">IF($B42&lt;&gt;1,"",IF(Candidates!F42='Find Candidates'!$B$6,1,0))</f>
        <v/>
      </c>
      <c r="F42" s="140" t="str">
        <f aca="false">IF($B42&lt;&gt;1,"",IF(Candidates!J42='Find Candidates'!$B$8,1,0))</f>
        <v/>
      </c>
      <c r="G42" s="140" t="str">
        <f aca="false">IF($B42&lt;&gt;1,"",IF(Candidates!K42&lt;=30,1,IF(Candidates!K42&lt;=60,0.5,0)))</f>
        <v/>
      </c>
      <c r="H42" s="140" t="str">
        <f aca="false">IF($B42&lt;&gt;1,"",IF(Candidates!I42&lt;='Find Candidates'!$B$9,1,0))</f>
        <v/>
      </c>
      <c r="I42" s="140" t="n">
        <f aca="false">IF($B42=1,C42*'Find Candidates'!$B$15+D42*'Find Candidates'!$B$16+E42*'Find Candidates'!$B$17+F42*'Find Candidates'!$B$18+G42*'Find Candidates'!$B$19+H42*'Find Candidates'!$B$20,0)</f>
        <v>0</v>
      </c>
      <c r="J42" s="140" t="str">
        <f aca="false">IF(AND($B42=1,I42&gt;0),I42-ROW()/10^8,"")</f>
        <v/>
      </c>
    </row>
    <row r="43" customFormat="false" ht="15" hidden="false" customHeight="false" outlineLevel="0" collapsed="false">
      <c r="A43" s="140" t="str">
        <f aca="false">IF(Candidates!A43="","",Candidates!A43)</f>
        <v/>
      </c>
      <c r="B43" s="140" t="str">
        <f aca="false">IF(Candidates!A43="","",IF(AND(Candidates!M43&lt;&gt;"Hired",Candidates!N43&lt;&gt;"Do Not Contact",Candidates!Q43="Yes"),1,0))</f>
        <v/>
      </c>
      <c r="C43" s="140" t="str">
        <f aca="false">IF($B43&lt;&gt;1,"",IF('Find Candidates'!$B$11=0,0,SUMPRODUCT(('Find Candidates'!$B$10:$F$10&lt;&gt;"")*ISNUMBER(SEARCH('Find Candidates'!$B$10:$F$10,Candidates!G43)))/'Find Candidates'!$B$11))</f>
        <v/>
      </c>
      <c r="D43" s="140" t="str">
        <f aca="false">IF($B43&lt;&gt;1,"",IF(N('Find Candidates'!$B$7)=0,1,MIN(1,Candidates!H43/'Find Candidates'!$B$7)))</f>
        <v/>
      </c>
      <c r="E43" s="140" t="str">
        <f aca="false">IF($B43&lt;&gt;1,"",IF(Candidates!F43='Find Candidates'!$B$6,1,0))</f>
        <v/>
      </c>
      <c r="F43" s="140" t="str">
        <f aca="false">IF($B43&lt;&gt;1,"",IF(Candidates!J43='Find Candidates'!$B$8,1,0))</f>
        <v/>
      </c>
      <c r="G43" s="140" t="str">
        <f aca="false">IF($B43&lt;&gt;1,"",IF(Candidates!K43&lt;=30,1,IF(Candidates!K43&lt;=60,0.5,0)))</f>
        <v/>
      </c>
      <c r="H43" s="140" t="str">
        <f aca="false">IF($B43&lt;&gt;1,"",IF(Candidates!I43&lt;='Find Candidates'!$B$9,1,0))</f>
        <v/>
      </c>
      <c r="I43" s="140" t="n">
        <f aca="false">IF($B43=1,C43*'Find Candidates'!$B$15+D43*'Find Candidates'!$B$16+E43*'Find Candidates'!$B$17+F43*'Find Candidates'!$B$18+G43*'Find Candidates'!$B$19+H43*'Find Candidates'!$B$20,0)</f>
        <v>0</v>
      </c>
      <c r="J43" s="140" t="str">
        <f aca="false">IF(AND($B43=1,I43&gt;0),I43-ROW()/10^8,"")</f>
        <v/>
      </c>
    </row>
    <row r="44" customFormat="false" ht="15" hidden="false" customHeight="false" outlineLevel="0" collapsed="false">
      <c r="A44" s="140" t="str">
        <f aca="false">IF(Candidates!A44="","",Candidates!A44)</f>
        <v/>
      </c>
      <c r="B44" s="140" t="str">
        <f aca="false">IF(Candidates!A44="","",IF(AND(Candidates!M44&lt;&gt;"Hired",Candidates!N44&lt;&gt;"Do Not Contact",Candidates!Q44="Yes"),1,0))</f>
        <v/>
      </c>
      <c r="C44" s="140" t="str">
        <f aca="false">IF($B44&lt;&gt;1,"",IF('Find Candidates'!$B$11=0,0,SUMPRODUCT(('Find Candidates'!$B$10:$F$10&lt;&gt;"")*ISNUMBER(SEARCH('Find Candidates'!$B$10:$F$10,Candidates!G44)))/'Find Candidates'!$B$11))</f>
        <v/>
      </c>
      <c r="D44" s="140" t="str">
        <f aca="false">IF($B44&lt;&gt;1,"",IF(N('Find Candidates'!$B$7)=0,1,MIN(1,Candidates!H44/'Find Candidates'!$B$7)))</f>
        <v/>
      </c>
      <c r="E44" s="140" t="str">
        <f aca="false">IF($B44&lt;&gt;1,"",IF(Candidates!F44='Find Candidates'!$B$6,1,0))</f>
        <v/>
      </c>
      <c r="F44" s="140" t="str">
        <f aca="false">IF($B44&lt;&gt;1,"",IF(Candidates!J44='Find Candidates'!$B$8,1,0))</f>
        <v/>
      </c>
      <c r="G44" s="140" t="str">
        <f aca="false">IF($B44&lt;&gt;1,"",IF(Candidates!K44&lt;=30,1,IF(Candidates!K44&lt;=60,0.5,0)))</f>
        <v/>
      </c>
      <c r="H44" s="140" t="str">
        <f aca="false">IF($B44&lt;&gt;1,"",IF(Candidates!I44&lt;='Find Candidates'!$B$9,1,0))</f>
        <v/>
      </c>
      <c r="I44" s="140" t="n">
        <f aca="false">IF($B44=1,C44*'Find Candidates'!$B$15+D44*'Find Candidates'!$B$16+E44*'Find Candidates'!$B$17+F44*'Find Candidates'!$B$18+G44*'Find Candidates'!$B$19+H44*'Find Candidates'!$B$20,0)</f>
        <v>0</v>
      </c>
      <c r="J44" s="140" t="str">
        <f aca="false">IF(AND($B44=1,I44&gt;0),I44-ROW()/10^8,"")</f>
        <v/>
      </c>
    </row>
    <row r="45" customFormat="false" ht="15" hidden="false" customHeight="false" outlineLevel="0" collapsed="false">
      <c r="A45" s="140" t="str">
        <f aca="false">IF(Candidates!A45="","",Candidates!A45)</f>
        <v/>
      </c>
      <c r="B45" s="140" t="str">
        <f aca="false">IF(Candidates!A45="","",IF(AND(Candidates!M45&lt;&gt;"Hired",Candidates!N45&lt;&gt;"Do Not Contact",Candidates!Q45="Yes"),1,0))</f>
        <v/>
      </c>
      <c r="C45" s="140" t="str">
        <f aca="false">IF($B45&lt;&gt;1,"",IF('Find Candidates'!$B$11=0,0,SUMPRODUCT(('Find Candidates'!$B$10:$F$10&lt;&gt;"")*ISNUMBER(SEARCH('Find Candidates'!$B$10:$F$10,Candidates!G45)))/'Find Candidates'!$B$11))</f>
        <v/>
      </c>
      <c r="D45" s="140" t="str">
        <f aca="false">IF($B45&lt;&gt;1,"",IF(N('Find Candidates'!$B$7)=0,1,MIN(1,Candidates!H45/'Find Candidates'!$B$7)))</f>
        <v/>
      </c>
      <c r="E45" s="140" t="str">
        <f aca="false">IF($B45&lt;&gt;1,"",IF(Candidates!F45='Find Candidates'!$B$6,1,0))</f>
        <v/>
      </c>
      <c r="F45" s="140" t="str">
        <f aca="false">IF($B45&lt;&gt;1,"",IF(Candidates!J45='Find Candidates'!$B$8,1,0))</f>
        <v/>
      </c>
      <c r="G45" s="140" t="str">
        <f aca="false">IF($B45&lt;&gt;1,"",IF(Candidates!K45&lt;=30,1,IF(Candidates!K45&lt;=60,0.5,0)))</f>
        <v/>
      </c>
      <c r="H45" s="140" t="str">
        <f aca="false">IF($B45&lt;&gt;1,"",IF(Candidates!I45&lt;='Find Candidates'!$B$9,1,0))</f>
        <v/>
      </c>
      <c r="I45" s="140" t="n">
        <f aca="false">IF($B45=1,C45*'Find Candidates'!$B$15+D45*'Find Candidates'!$B$16+E45*'Find Candidates'!$B$17+F45*'Find Candidates'!$B$18+G45*'Find Candidates'!$B$19+H45*'Find Candidates'!$B$20,0)</f>
        <v>0</v>
      </c>
      <c r="J45" s="140" t="str">
        <f aca="false">IF(AND($B45=1,I45&gt;0),I45-ROW()/10^8,"")</f>
        <v/>
      </c>
    </row>
    <row r="46" customFormat="false" ht="15" hidden="false" customHeight="false" outlineLevel="0" collapsed="false">
      <c r="A46" s="140" t="str">
        <f aca="false">IF(Candidates!A46="","",Candidates!A46)</f>
        <v/>
      </c>
      <c r="B46" s="140" t="str">
        <f aca="false">IF(Candidates!A46="","",IF(AND(Candidates!M46&lt;&gt;"Hired",Candidates!N46&lt;&gt;"Do Not Contact",Candidates!Q46="Yes"),1,0))</f>
        <v/>
      </c>
      <c r="C46" s="140" t="str">
        <f aca="false">IF($B46&lt;&gt;1,"",IF('Find Candidates'!$B$11=0,0,SUMPRODUCT(('Find Candidates'!$B$10:$F$10&lt;&gt;"")*ISNUMBER(SEARCH('Find Candidates'!$B$10:$F$10,Candidates!G46)))/'Find Candidates'!$B$11))</f>
        <v/>
      </c>
      <c r="D46" s="140" t="str">
        <f aca="false">IF($B46&lt;&gt;1,"",IF(N('Find Candidates'!$B$7)=0,1,MIN(1,Candidates!H46/'Find Candidates'!$B$7)))</f>
        <v/>
      </c>
      <c r="E46" s="140" t="str">
        <f aca="false">IF($B46&lt;&gt;1,"",IF(Candidates!F46='Find Candidates'!$B$6,1,0))</f>
        <v/>
      </c>
      <c r="F46" s="140" t="str">
        <f aca="false">IF($B46&lt;&gt;1,"",IF(Candidates!J46='Find Candidates'!$B$8,1,0))</f>
        <v/>
      </c>
      <c r="G46" s="140" t="str">
        <f aca="false">IF($B46&lt;&gt;1,"",IF(Candidates!K46&lt;=30,1,IF(Candidates!K46&lt;=60,0.5,0)))</f>
        <v/>
      </c>
      <c r="H46" s="140" t="str">
        <f aca="false">IF($B46&lt;&gt;1,"",IF(Candidates!I46&lt;='Find Candidates'!$B$9,1,0))</f>
        <v/>
      </c>
      <c r="I46" s="140" t="n">
        <f aca="false">IF($B46=1,C46*'Find Candidates'!$B$15+D46*'Find Candidates'!$B$16+E46*'Find Candidates'!$B$17+F46*'Find Candidates'!$B$18+G46*'Find Candidates'!$B$19+H46*'Find Candidates'!$B$20,0)</f>
        <v>0</v>
      </c>
      <c r="J46" s="140" t="str">
        <f aca="false">IF(AND($B46=1,I46&gt;0),I46-ROW()/10^8,"")</f>
        <v/>
      </c>
    </row>
    <row r="47" customFormat="false" ht="15" hidden="false" customHeight="false" outlineLevel="0" collapsed="false">
      <c r="A47" s="140" t="str">
        <f aca="false">IF(Candidates!A47="","",Candidates!A47)</f>
        <v/>
      </c>
      <c r="B47" s="140" t="str">
        <f aca="false">IF(Candidates!A47="","",IF(AND(Candidates!M47&lt;&gt;"Hired",Candidates!N47&lt;&gt;"Do Not Contact",Candidates!Q47="Yes"),1,0))</f>
        <v/>
      </c>
      <c r="C47" s="140" t="str">
        <f aca="false">IF($B47&lt;&gt;1,"",IF('Find Candidates'!$B$11=0,0,SUMPRODUCT(('Find Candidates'!$B$10:$F$10&lt;&gt;"")*ISNUMBER(SEARCH('Find Candidates'!$B$10:$F$10,Candidates!G47)))/'Find Candidates'!$B$11))</f>
        <v/>
      </c>
      <c r="D47" s="140" t="str">
        <f aca="false">IF($B47&lt;&gt;1,"",IF(N('Find Candidates'!$B$7)=0,1,MIN(1,Candidates!H47/'Find Candidates'!$B$7)))</f>
        <v/>
      </c>
      <c r="E47" s="140" t="str">
        <f aca="false">IF($B47&lt;&gt;1,"",IF(Candidates!F47='Find Candidates'!$B$6,1,0))</f>
        <v/>
      </c>
      <c r="F47" s="140" t="str">
        <f aca="false">IF($B47&lt;&gt;1,"",IF(Candidates!J47='Find Candidates'!$B$8,1,0))</f>
        <v/>
      </c>
      <c r="G47" s="140" t="str">
        <f aca="false">IF($B47&lt;&gt;1,"",IF(Candidates!K47&lt;=30,1,IF(Candidates!K47&lt;=60,0.5,0)))</f>
        <v/>
      </c>
      <c r="H47" s="140" t="str">
        <f aca="false">IF($B47&lt;&gt;1,"",IF(Candidates!I47&lt;='Find Candidates'!$B$9,1,0))</f>
        <v/>
      </c>
      <c r="I47" s="140" t="n">
        <f aca="false">IF($B47=1,C47*'Find Candidates'!$B$15+D47*'Find Candidates'!$B$16+E47*'Find Candidates'!$B$17+F47*'Find Candidates'!$B$18+G47*'Find Candidates'!$B$19+H47*'Find Candidates'!$B$20,0)</f>
        <v>0</v>
      </c>
      <c r="J47" s="140" t="str">
        <f aca="false">IF(AND($B47=1,I47&gt;0),I47-ROW()/10^8,"")</f>
        <v/>
      </c>
    </row>
    <row r="48" customFormat="false" ht="15" hidden="false" customHeight="false" outlineLevel="0" collapsed="false">
      <c r="A48" s="140" t="str">
        <f aca="false">IF(Candidates!A48="","",Candidates!A48)</f>
        <v/>
      </c>
      <c r="B48" s="140" t="str">
        <f aca="false">IF(Candidates!A48="","",IF(AND(Candidates!M48&lt;&gt;"Hired",Candidates!N48&lt;&gt;"Do Not Contact",Candidates!Q48="Yes"),1,0))</f>
        <v/>
      </c>
      <c r="C48" s="140" t="str">
        <f aca="false">IF($B48&lt;&gt;1,"",IF('Find Candidates'!$B$11=0,0,SUMPRODUCT(('Find Candidates'!$B$10:$F$10&lt;&gt;"")*ISNUMBER(SEARCH('Find Candidates'!$B$10:$F$10,Candidates!G48)))/'Find Candidates'!$B$11))</f>
        <v/>
      </c>
      <c r="D48" s="140" t="str">
        <f aca="false">IF($B48&lt;&gt;1,"",IF(N('Find Candidates'!$B$7)=0,1,MIN(1,Candidates!H48/'Find Candidates'!$B$7)))</f>
        <v/>
      </c>
      <c r="E48" s="140" t="str">
        <f aca="false">IF($B48&lt;&gt;1,"",IF(Candidates!F48='Find Candidates'!$B$6,1,0))</f>
        <v/>
      </c>
      <c r="F48" s="140" t="str">
        <f aca="false">IF($B48&lt;&gt;1,"",IF(Candidates!J48='Find Candidates'!$B$8,1,0))</f>
        <v/>
      </c>
      <c r="G48" s="140" t="str">
        <f aca="false">IF($B48&lt;&gt;1,"",IF(Candidates!K48&lt;=30,1,IF(Candidates!K48&lt;=60,0.5,0)))</f>
        <v/>
      </c>
      <c r="H48" s="140" t="str">
        <f aca="false">IF($B48&lt;&gt;1,"",IF(Candidates!I48&lt;='Find Candidates'!$B$9,1,0))</f>
        <v/>
      </c>
      <c r="I48" s="140" t="n">
        <f aca="false">IF($B48=1,C48*'Find Candidates'!$B$15+D48*'Find Candidates'!$B$16+E48*'Find Candidates'!$B$17+F48*'Find Candidates'!$B$18+G48*'Find Candidates'!$B$19+H48*'Find Candidates'!$B$20,0)</f>
        <v>0</v>
      </c>
      <c r="J48" s="140" t="str">
        <f aca="false">IF(AND($B48=1,I48&gt;0),I48-ROW()/10^8,"")</f>
        <v/>
      </c>
    </row>
    <row r="49" customFormat="false" ht="15" hidden="false" customHeight="false" outlineLevel="0" collapsed="false">
      <c r="A49" s="140" t="str">
        <f aca="false">IF(Candidates!A49="","",Candidates!A49)</f>
        <v/>
      </c>
      <c r="B49" s="140" t="str">
        <f aca="false">IF(Candidates!A49="","",IF(AND(Candidates!M49&lt;&gt;"Hired",Candidates!N49&lt;&gt;"Do Not Contact",Candidates!Q49="Yes"),1,0))</f>
        <v/>
      </c>
      <c r="C49" s="140" t="str">
        <f aca="false">IF($B49&lt;&gt;1,"",IF('Find Candidates'!$B$11=0,0,SUMPRODUCT(('Find Candidates'!$B$10:$F$10&lt;&gt;"")*ISNUMBER(SEARCH('Find Candidates'!$B$10:$F$10,Candidates!G49)))/'Find Candidates'!$B$11))</f>
        <v/>
      </c>
      <c r="D49" s="140" t="str">
        <f aca="false">IF($B49&lt;&gt;1,"",IF(N('Find Candidates'!$B$7)=0,1,MIN(1,Candidates!H49/'Find Candidates'!$B$7)))</f>
        <v/>
      </c>
      <c r="E49" s="140" t="str">
        <f aca="false">IF($B49&lt;&gt;1,"",IF(Candidates!F49='Find Candidates'!$B$6,1,0))</f>
        <v/>
      </c>
      <c r="F49" s="140" t="str">
        <f aca="false">IF($B49&lt;&gt;1,"",IF(Candidates!J49='Find Candidates'!$B$8,1,0))</f>
        <v/>
      </c>
      <c r="G49" s="140" t="str">
        <f aca="false">IF($B49&lt;&gt;1,"",IF(Candidates!K49&lt;=30,1,IF(Candidates!K49&lt;=60,0.5,0)))</f>
        <v/>
      </c>
      <c r="H49" s="140" t="str">
        <f aca="false">IF($B49&lt;&gt;1,"",IF(Candidates!I49&lt;='Find Candidates'!$B$9,1,0))</f>
        <v/>
      </c>
      <c r="I49" s="140" t="n">
        <f aca="false">IF($B49=1,C49*'Find Candidates'!$B$15+D49*'Find Candidates'!$B$16+E49*'Find Candidates'!$B$17+F49*'Find Candidates'!$B$18+G49*'Find Candidates'!$B$19+H49*'Find Candidates'!$B$20,0)</f>
        <v>0</v>
      </c>
      <c r="J49" s="140" t="str">
        <f aca="false">IF(AND($B49=1,I49&gt;0),I49-ROW()/10^8,"")</f>
        <v/>
      </c>
    </row>
    <row r="50" customFormat="false" ht="15" hidden="false" customHeight="false" outlineLevel="0" collapsed="false">
      <c r="A50" s="140" t="str">
        <f aca="false">IF(Candidates!A50="","",Candidates!A50)</f>
        <v/>
      </c>
      <c r="B50" s="140" t="str">
        <f aca="false">IF(Candidates!A50="","",IF(AND(Candidates!M50&lt;&gt;"Hired",Candidates!N50&lt;&gt;"Do Not Contact",Candidates!Q50="Yes"),1,0))</f>
        <v/>
      </c>
      <c r="C50" s="140" t="str">
        <f aca="false">IF($B50&lt;&gt;1,"",IF('Find Candidates'!$B$11=0,0,SUMPRODUCT(('Find Candidates'!$B$10:$F$10&lt;&gt;"")*ISNUMBER(SEARCH('Find Candidates'!$B$10:$F$10,Candidates!G50)))/'Find Candidates'!$B$11))</f>
        <v/>
      </c>
      <c r="D50" s="140" t="str">
        <f aca="false">IF($B50&lt;&gt;1,"",IF(N('Find Candidates'!$B$7)=0,1,MIN(1,Candidates!H50/'Find Candidates'!$B$7)))</f>
        <v/>
      </c>
      <c r="E50" s="140" t="str">
        <f aca="false">IF($B50&lt;&gt;1,"",IF(Candidates!F50='Find Candidates'!$B$6,1,0))</f>
        <v/>
      </c>
      <c r="F50" s="140" t="str">
        <f aca="false">IF($B50&lt;&gt;1,"",IF(Candidates!J50='Find Candidates'!$B$8,1,0))</f>
        <v/>
      </c>
      <c r="G50" s="140" t="str">
        <f aca="false">IF($B50&lt;&gt;1,"",IF(Candidates!K50&lt;=30,1,IF(Candidates!K50&lt;=60,0.5,0)))</f>
        <v/>
      </c>
      <c r="H50" s="140" t="str">
        <f aca="false">IF($B50&lt;&gt;1,"",IF(Candidates!I50&lt;='Find Candidates'!$B$9,1,0))</f>
        <v/>
      </c>
      <c r="I50" s="140" t="n">
        <f aca="false">IF($B50=1,C50*'Find Candidates'!$B$15+D50*'Find Candidates'!$B$16+E50*'Find Candidates'!$B$17+F50*'Find Candidates'!$B$18+G50*'Find Candidates'!$B$19+H50*'Find Candidates'!$B$20,0)</f>
        <v>0</v>
      </c>
      <c r="J50" s="140" t="str">
        <f aca="false">IF(AND($B50=1,I50&gt;0),I50-ROW()/10^8,"")</f>
        <v/>
      </c>
    </row>
    <row r="51" customFormat="false" ht="15" hidden="false" customHeight="false" outlineLevel="0" collapsed="false">
      <c r="A51" s="140" t="str">
        <f aca="false">IF(Candidates!A51="","",Candidates!A51)</f>
        <v/>
      </c>
      <c r="B51" s="140" t="str">
        <f aca="false">IF(Candidates!A51="","",IF(AND(Candidates!M51&lt;&gt;"Hired",Candidates!N51&lt;&gt;"Do Not Contact",Candidates!Q51="Yes"),1,0))</f>
        <v/>
      </c>
      <c r="C51" s="140" t="str">
        <f aca="false">IF($B51&lt;&gt;1,"",IF('Find Candidates'!$B$11=0,0,SUMPRODUCT(('Find Candidates'!$B$10:$F$10&lt;&gt;"")*ISNUMBER(SEARCH('Find Candidates'!$B$10:$F$10,Candidates!G51)))/'Find Candidates'!$B$11))</f>
        <v/>
      </c>
      <c r="D51" s="140" t="str">
        <f aca="false">IF($B51&lt;&gt;1,"",IF(N('Find Candidates'!$B$7)=0,1,MIN(1,Candidates!H51/'Find Candidates'!$B$7)))</f>
        <v/>
      </c>
      <c r="E51" s="140" t="str">
        <f aca="false">IF($B51&lt;&gt;1,"",IF(Candidates!F51='Find Candidates'!$B$6,1,0))</f>
        <v/>
      </c>
      <c r="F51" s="140" t="str">
        <f aca="false">IF($B51&lt;&gt;1,"",IF(Candidates!J51='Find Candidates'!$B$8,1,0))</f>
        <v/>
      </c>
      <c r="G51" s="140" t="str">
        <f aca="false">IF($B51&lt;&gt;1,"",IF(Candidates!K51&lt;=30,1,IF(Candidates!K51&lt;=60,0.5,0)))</f>
        <v/>
      </c>
      <c r="H51" s="140" t="str">
        <f aca="false">IF($B51&lt;&gt;1,"",IF(Candidates!I51&lt;='Find Candidates'!$B$9,1,0))</f>
        <v/>
      </c>
      <c r="I51" s="140" t="n">
        <f aca="false">IF($B51=1,C51*'Find Candidates'!$B$15+D51*'Find Candidates'!$B$16+E51*'Find Candidates'!$B$17+F51*'Find Candidates'!$B$18+G51*'Find Candidates'!$B$19+H51*'Find Candidates'!$B$20,0)</f>
        <v>0</v>
      </c>
      <c r="J51" s="140" t="str">
        <f aca="false">IF(AND($B51=1,I51&gt;0),I51-ROW()/10^8,"")</f>
        <v/>
      </c>
    </row>
    <row r="52" customFormat="false" ht="15" hidden="false" customHeight="false" outlineLevel="0" collapsed="false">
      <c r="A52" s="140" t="str">
        <f aca="false">IF(Candidates!A52="","",Candidates!A52)</f>
        <v/>
      </c>
      <c r="B52" s="140" t="str">
        <f aca="false">IF(Candidates!A52="","",IF(AND(Candidates!M52&lt;&gt;"Hired",Candidates!N52&lt;&gt;"Do Not Contact",Candidates!Q52="Yes"),1,0))</f>
        <v/>
      </c>
      <c r="C52" s="140" t="str">
        <f aca="false">IF($B52&lt;&gt;1,"",IF('Find Candidates'!$B$11=0,0,SUMPRODUCT(('Find Candidates'!$B$10:$F$10&lt;&gt;"")*ISNUMBER(SEARCH('Find Candidates'!$B$10:$F$10,Candidates!G52)))/'Find Candidates'!$B$11))</f>
        <v/>
      </c>
      <c r="D52" s="140" t="str">
        <f aca="false">IF($B52&lt;&gt;1,"",IF(N('Find Candidates'!$B$7)=0,1,MIN(1,Candidates!H52/'Find Candidates'!$B$7)))</f>
        <v/>
      </c>
      <c r="E52" s="140" t="str">
        <f aca="false">IF($B52&lt;&gt;1,"",IF(Candidates!F52='Find Candidates'!$B$6,1,0))</f>
        <v/>
      </c>
      <c r="F52" s="140" t="str">
        <f aca="false">IF($B52&lt;&gt;1,"",IF(Candidates!J52='Find Candidates'!$B$8,1,0))</f>
        <v/>
      </c>
      <c r="G52" s="140" t="str">
        <f aca="false">IF($B52&lt;&gt;1,"",IF(Candidates!K52&lt;=30,1,IF(Candidates!K52&lt;=60,0.5,0)))</f>
        <v/>
      </c>
      <c r="H52" s="140" t="str">
        <f aca="false">IF($B52&lt;&gt;1,"",IF(Candidates!I52&lt;='Find Candidates'!$B$9,1,0))</f>
        <v/>
      </c>
      <c r="I52" s="140" t="n">
        <f aca="false">IF($B52=1,C52*'Find Candidates'!$B$15+D52*'Find Candidates'!$B$16+E52*'Find Candidates'!$B$17+F52*'Find Candidates'!$B$18+G52*'Find Candidates'!$B$19+H52*'Find Candidates'!$B$20,0)</f>
        <v>0</v>
      </c>
      <c r="J52" s="140" t="str">
        <f aca="false">IF(AND($B52=1,I52&gt;0),I52-ROW()/10^8,"")</f>
        <v/>
      </c>
    </row>
    <row r="53" customFormat="false" ht="15" hidden="false" customHeight="false" outlineLevel="0" collapsed="false">
      <c r="A53" s="140" t="str">
        <f aca="false">IF(Candidates!A53="","",Candidates!A53)</f>
        <v/>
      </c>
      <c r="B53" s="140" t="str">
        <f aca="false">IF(Candidates!A53="","",IF(AND(Candidates!M53&lt;&gt;"Hired",Candidates!N53&lt;&gt;"Do Not Contact",Candidates!Q53="Yes"),1,0))</f>
        <v/>
      </c>
      <c r="C53" s="140" t="str">
        <f aca="false">IF($B53&lt;&gt;1,"",IF('Find Candidates'!$B$11=0,0,SUMPRODUCT(('Find Candidates'!$B$10:$F$10&lt;&gt;"")*ISNUMBER(SEARCH('Find Candidates'!$B$10:$F$10,Candidates!G53)))/'Find Candidates'!$B$11))</f>
        <v/>
      </c>
      <c r="D53" s="140" t="str">
        <f aca="false">IF($B53&lt;&gt;1,"",IF(N('Find Candidates'!$B$7)=0,1,MIN(1,Candidates!H53/'Find Candidates'!$B$7)))</f>
        <v/>
      </c>
      <c r="E53" s="140" t="str">
        <f aca="false">IF($B53&lt;&gt;1,"",IF(Candidates!F53='Find Candidates'!$B$6,1,0))</f>
        <v/>
      </c>
      <c r="F53" s="140" t="str">
        <f aca="false">IF($B53&lt;&gt;1,"",IF(Candidates!J53='Find Candidates'!$B$8,1,0))</f>
        <v/>
      </c>
      <c r="G53" s="140" t="str">
        <f aca="false">IF($B53&lt;&gt;1,"",IF(Candidates!K53&lt;=30,1,IF(Candidates!K53&lt;=60,0.5,0)))</f>
        <v/>
      </c>
      <c r="H53" s="140" t="str">
        <f aca="false">IF($B53&lt;&gt;1,"",IF(Candidates!I53&lt;='Find Candidates'!$B$9,1,0))</f>
        <v/>
      </c>
      <c r="I53" s="140" t="n">
        <f aca="false">IF($B53=1,C53*'Find Candidates'!$B$15+D53*'Find Candidates'!$B$16+E53*'Find Candidates'!$B$17+F53*'Find Candidates'!$B$18+G53*'Find Candidates'!$B$19+H53*'Find Candidates'!$B$20,0)</f>
        <v>0</v>
      </c>
      <c r="J53" s="140" t="str">
        <f aca="false">IF(AND($B53=1,I53&gt;0),I53-ROW()/10^8,"")</f>
        <v/>
      </c>
    </row>
    <row r="54" customFormat="false" ht="15" hidden="false" customHeight="false" outlineLevel="0" collapsed="false">
      <c r="A54" s="140" t="str">
        <f aca="false">IF(Candidates!A54="","",Candidates!A54)</f>
        <v/>
      </c>
      <c r="B54" s="140" t="str">
        <f aca="false">IF(Candidates!A54="","",IF(AND(Candidates!M54&lt;&gt;"Hired",Candidates!N54&lt;&gt;"Do Not Contact",Candidates!Q54="Yes"),1,0))</f>
        <v/>
      </c>
      <c r="C54" s="140" t="str">
        <f aca="false">IF($B54&lt;&gt;1,"",IF('Find Candidates'!$B$11=0,0,SUMPRODUCT(('Find Candidates'!$B$10:$F$10&lt;&gt;"")*ISNUMBER(SEARCH('Find Candidates'!$B$10:$F$10,Candidates!G54)))/'Find Candidates'!$B$11))</f>
        <v/>
      </c>
      <c r="D54" s="140" t="str">
        <f aca="false">IF($B54&lt;&gt;1,"",IF(N('Find Candidates'!$B$7)=0,1,MIN(1,Candidates!H54/'Find Candidates'!$B$7)))</f>
        <v/>
      </c>
      <c r="E54" s="140" t="str">
        <f aca="false">IF($B54&lt;&gt;1,"",IF(Candidates!F54='Find Candidates'!$B$6,1,0))</f>
        <v/>
      </c>
      <c r="F54" s="140" t="str">
        <f aca="false">IF($B54&lt;&gt;1,"",IF(Candidates!J54='Find Candidates'!$B$8,1,0))</f>
        <v/>
      </c>
      <c r="G54" s="140" t="str">
        <f aca="false">IF($B54&lt;&gt;1,"",IF(Candidates!K54&lt;=30,1,IF(Candidates!K54&lt;=60,0.5,0)))</f>
        <v/>
      </c>
      <c r="H54" s="140" t="str">
        <f aca="false">IF($B54&lt;&gt;1,"",IF(Candidates!I54&lt;='Find Candidates'!$B$9,1,0))</f>
        <v/>
      </c>
      <c r="I54" s="140" t="n">
        <f aca="false">IF($B54=1,C54*'Find Candidates'!$B$15+D54*'Find Candidates'!$B$16+E54*'Find Candidates'!$B$17+F54*'Find Candidates'!$B$18+G54*'Find Candidates'!$B$19+H54*'Find Candidates'!$B$20,0)</f>
        <v>0</v>
      </c>
      <c r="J54" s="140" t="str">
        <f aca="false">IF(AND($B54=1,I54&gt;0),I54-ROW()/10^8,"")</f>
        <v/>
      </c>
    </row>
    <row r="55" customFormat="false" ht="15" hidden="false" customHeight="false" outlineLevel="0" collapsed="false">
      <c r="A55" s="140" t="str">
        <f aca="false">IF(Candidates!A55="","",Candidates!A55)</f>
        <v/>
      </c>
      <c r="B55" s="140" t="str">
        <f aca="false">IF(Candidates!A55="","",IF(AND(Candidates!M55&lt;&gt;"Hired",Candidates!N55&lt;&gt;"Do Not Contact",Candidates!Q55="Yes"),1,0))</f>
        <v/>
      </c>
      <c r="C55" s="140" t="str">
        <f aca="false">IF($B55&lt;&gt;1,"",IF('Find Candidates'!$B$11=0,0,SUMPRODUCT(('Find Candidates'!$B$10:$F$10&lt;&gt;"")*ISNUMBER(SEARCH('Find Candidates'!$B$10:$F$10,Candidates!G55)))/'Find Candidates'!$B$11))</f>
        <v/>
      </c>
      <c r="D55" s="140" t="str">
        <f aca="false">IF($B55&lt;&gt;1,"",IF(N('Find Candidates'!$B$7)=0,1,MIN(1,Candidates!H55/'Find Candidates'!$B$7)))</f>
        <v/>
      </c>
      <c r="E55" s="140" t="str">
        <f aca="false">IF($B55&lt;&gt;1,"",IF(Candidates!F55='Find Candidates'!$B$6,1,0))</f>
        <v/>
      </c>
      <c r="F55" s="140" t="str">
        <f aca="false">IF($B55&lt;&gt;1,"",IF(Candidates!J55='Find Candidates'!$B$8,1,0))</f>
        <v/>
      </c>
      <c r="G55" s="140" t="str">
        <f aca="false">IF($B55&lt;&gt;1,"",IF(Candidates!K55&lt;=30,1,IF(Candidates!K55&lt;=60,0.5,0)))</f>
        <v/>
      </c>
      <c r="H55" s="140" t="str">
        <f aca="false">IF($B55&lt;&gt;1,"",IF(Candidates!I55&lt;='Find Candidates'!$B$9,1,0))</f>
        <v/>
      </c>
      <c r="I55" s="140" t="n">
        <f aca="false">IF($B55=1,C55*'Find Candidates'!$B$15+D55*'Find Candidates'!$B$16+E55*'Find Candidates'!$B$17+F55*'Find Candidates'!$B$18+G55*'Find Candidates'!$B$19+H55*'Find Candidates'!$B$20,0)</f>
        <v>0</v>
      </c>
      <c r="J55" s="140" t="str">
        <f aca="false">IF(AND($B55=1,I55&gt;0),I55-ROW()/10^8,"")</f>
        <v/>
      </c>
    </row>
    <row r="56" customFormat="false" ht="15" hidden="false" customHeight="false" outlineLevel="0" collapsed="false">
      <c r="A56" s="140" t="str">
        <f aca="false">IF(Candidates!A56="","",Candidates!A56)</f>
        <v/>
      </c>
      <c r="B56" s="140" t="str">
        <f aca="false">IF(Candidates!A56="","",IF(AND(Candidates!M56&lt;&gt;"Hired",Candidates!N56&lt;&gt;"Do Not Contact",Candidates!Q56="Yes"),1,0))</f>
        <v/>
      </c>
      <c r="C56" s="140" t="str">
        <f aca="false">IF($B56&lt;&gt;1,"",IF('Find Candidates'!$B$11=0,0,SUMPRODUCT(('Find Candidates'!$B$10:$F$10&lt;&gt;"")*ISNUMBER(SEARCH('Find Candidates'!$B$10:$F$10,Candidates!G56)))/'Find Candidates'!$B$11))</f>
        <v/>
      </c>
      <c r="D56" s="140" t="str">
        <f aca="false">IF($B56&lt;&gt;1,"",IF(N('Find Candidates'!$B$7)=0,1,MIN(1,Candidates!H56/'Find Candidates'!$B$7)))</f>
        <v/>
      </c>
      <c r="E56" s="140" t="str">
        <f aca="false">IF($B56&lt;&gt;1,"",IF(Candidates!F56='Find Candidates'!$B$6,1,0))</f>
        <v/>
      </c>
      <c r="F56" s="140" t="str">
        <f aca="false">IF($B56&lt;&gt;1,"",IF(Candidates!J56='Find Candidates'!$B$8,1,0))</f>
        <v/>
      </c>
      <c r="G56" s="140" t="str">
        <f aca="false">IF($B56&lt;&gt;1,"",IF(Candidates!K56&lt;=30,1,IF(Candidates!K56&lt;=60,0.5,0)))</f>
        <v/>
      </c>
      <c r="H56" s="140" t="str">
        <f aca="false">IF($B56&lt;&gt;1,"",IF(Candidates!I56&lt;='Find Candidates'!$B$9,1,0))</f>
        <v/>
      </c>
      <c r="I56" s="140" t="n">
        <f aca="false">IF($B56=1,C56*'Find Candidates'!$B$15+D56*'Find Candidates'!$B$16+E56*'Find Candidates'!$B$17+F56*'Find Candidates'!$B$18+G56*'Find Candidates'!$B$19+H56*'Find Candidates'!$B$20,0)</f>
        <v>0</v>
      </c>
      <c r="J56" s="140" t="str">
        <f aca="false">IF(AND($B56=1,I56&gt;0),I56-ROW()/10^8,"")</f>
        <v/>
      </c>
    </row>
    <row r="57" customFormat="false" ht="15" hidden="false" customHeight="false" outlineLevel="0" collapsed="false">
      <c r="A57" s="140" t="str">
        <f aca="false">IF(Candidates!A57="","",Candidates!A57)</f>
        <v/>
      </c>
      <c r="B57" s="140" t="str">
        <f aca="false">IF(Candidates!A57="","",IF(AND(Candidates!M57&lt;&gt;"Hired",Candidates!N57&lt;&gt;"Do Not Contact",Candidates!Q57="Yes"),1,0))</f>
        <v/>
      </c>
      <c r="C57" s="140" t="str">
        <f aca="false">IF($B57&lt;&gt;1,"",IF('Find Candidates'!$B$11=0,0,SUMPRODUCT(('Find Candidates'!$B$10:$F$10&lt;&gt;"")*ISNUMBER(SEARCH('Find Candidates'!$B$10:$F$10,Candidates!G57)))/'Find Candidates'!$B$11))</f>
        <v/>
      </c>
      <c r="D57" s="140" t="str">
        <f aca="false">IF($B57&lt;&gt;1,"",IF(N('Find Candidates'!$B$7)=0,1,MIN(1,Candidates!H57/'Find Candidates'!$B$7)))</f>
        <v/>
      </c>
      <c r="E57" s="140" t="str">
        <f aca="false">IF($B57&lt;&gt;1,"",IF(Candidates!F57='Find Candidates'!$B$6,1,0))</f>
        <v/>
      </c>
      <c r="F57" s="140" t="str">
        <f aca="false">IF($B57&lt;&gt;1,"",IF(Candidates!J57='Find Candidates'!$B$8,1,0))</f>
        <v/>
      </c>
      <c r="G57" s="140" t="str">
        <f aca="false">IF($B57&lt;&gt;1,"",IF(Candidates!K57&lt;=30,1,IF(Candidates!K57&lt;=60,0.5,0)))</f>
        <v/>
      </c>
      <c r="H57" s="140" t="str">
        <f aca="false">IF($B57&lt;&gt;1,"",IF(Candidates!I57&lt;='Find Candidates'!$B$9,1,0))</f>
        <v/>
      </c>
      <c r="I57" s="140" t="n">
        <f aca="false">IF($B57=1,C57*'Find Candidates'!$B$15+D57*'Find Candidates'!$B$16+E57*'Find Candidates'!$B$17+F57*'Find Candidates'!$B$18+G57*'Find Candidates'!$B$19+H57*'Find Candidates'!$B$20,0)</f>
        <v>0</v>
      </c>
      <c r="J57" s="140" t="str">
        <f aca="false">IF(AND($B57=1,I57&gt;0),I57-ROW()/10^8,"")</f>
        <v/>
      </c>
    </row>
    <row r="58" customFormat="false" ht="15" hidden="false" customHeight="false" outlineLevel="0" collapsed="false">
      <c r="A58" s="140" t="str">
        <f aca="false">IF(Candidates!A58="","",Candidates!A58)</f>
        <v/>
      </c>
      <c r="B58" s="140" t="str">
        <f aca="false">IF(Candidates!A58="","",IF(AND(Candidates!M58&lt;&gt;"Hired",Candidates!N58&lt;&gt;"Do Not Contact",Candidates!Q58="Yes"),1,0))</f>
        <v/>
      </c>
      <c r="C58" s="140" t="str">
        <f aca="false">IF($B58&lt;&gt;1,"",IF('Find Candidates'!$B$11=0,0,SUMPRODUCT(('Find Candidates'!$B$10:$F$10&lt;&gt;"")*ISNUMBER(SEARCH('Find Candidates'!$B$10:$F$10,Candidates!G58)))/'Find Candidates'!$B$11))</f>
        <v/>
      </c>
      <c r="D58" s="140" t="str">
        <f aca="false">IF($B58&lt;&gt;1,"",IF(N('Find Candidates'!$B$7)=0,1,MIN(1,Candidates!H58/'Find Candidates'!$B$7)))</f>
        <v/>
      </c>
      <c r="E58" s="140" t="str">
        <f aca="false">IF($B58&lt;&gt;1,"",IF(Candidates!F58='Find Candidates'!$B$6,1,0))</f>
        <v/>
      </c>
      <c r="F58" s="140" t="str">
        <f aca="false">IF($B58&lt;&gt;1,"",IF(Candidates!J58='Find Candidates'!$B$8,1,0))</f>
        <v/>
      </c>
      <c r="G58" s="140" t="str">
        <f aca="false">IF($B58&lt;&gt;1,"",IF(Candidates!K58&lt;=30,1,IF(Candidates!K58&lt;=60,0.5,0)))</f>
        <v/>
      </c>
      <c r="H58" s="140" t="str">
        <f aca="false">IF($B58&lt;&gt;1,"",IF(Candidates!I58&lt;='Find Candidates'!$B$9,1,0))</f>
        <v/>
      </c>
      <c r="I58" s="140" t="n">
        <f aca="false">IF($B58=1,C58*'Find Candidates'!$B$15+D58*'Find Candidates'!$B$16+E58*'Find Candidates'!$B$17+F58*'Find Candidates'!$B$18+G58*'Find Candidates'!$B$19+H58*'Find Candidates'!$B$20,0)</f>
        <v>0</v>
      </c>
      <c r="J58" s="140" t="str">
        <f aca="false">IF(AND($B58=1,I58&gt;0),I58-ROW()/10^8,"")</f>
        <v/>
      </c>
    </row>
    <row r="59" customFormat="false" ht="15" hidden="false" customHeight="false" outlineLevel="0" collapsed="false">
      <c r="A59" s="140" t="str">
        <f aca="false">IF(Candidates!A59="","",Candidates!A59)</f>
        <v/>
      </c>
      <c r="B59" s="140" t="str">
        <f aca="false">IF(Candidates!A59="","",IF(AND(Candidates!M59&lt;&gt;"Hired",Candidates!N59&lt;&gt;"Do Not Contact",Candidates!Q59="Yes"),1,0))</f>
        <v/>
      </c>
      <c r="C59" s="140" t="str">
        <f aca="false">IF($B59&lt;&gt;1,"",IF('Find Candidates'!$B$11=0,0,SUMPRODUCT(('Find Candidates'!$B$10:$F$10&lt;&gt;"")*ISNUMBER(SEARCH('Find Candidates'!$B$10:$F$10,Candidates!G59)))/'Find Candidates'!$B$11))</f>
        <v/>
      </c>
      <c r="D59" s="140" t="str">
        <f aca="false">IF($B59&lt;&gt;1,"",IF(N('Find Candidates'!$B$7)=0,1,MIN(1,Candidates!H59/'Find Candidates'!$B$7)))</f>
        <v/>
      </c>
      <c r="E59" s="140" t="str">
        <f aca="false">IF($B59&lt;&gt;1,"",IF(Candidates!F59='Find Candidates'!$B$6,1,0))</f>
        <v/>
      </c>
      <c r="F59" s="140" t="str">
        <f aca="false">IF($B59&lt;&gt;1,"",IF(Candidates!J59='Find Candidates'!$B$8,1,0))</f>
        <v/>
      </c>
      <c r="G59" s="140" t="str">
        <f aca="false">IF($B59&lt;&gt;1,"",IF(Candidates!K59&lt;=30,1,IF(Candidates!K59&lt;=60,0.5,0)))</f>
        <v/>
      </c>
      <c r="H59" s="140" t="str">
        <f aca="false">IF($B59&lt;&gt;1,"",IF(Candidates!I59&lt;='Find Candidates'!$B$9,1,0))</f>
        <v/>
      </c>
      <c r="I59" s="140" t="n">
        <f aca="false">IF($B59=1,C59*'Find Candidates'!$B$15+D59*'Find Candidates'!$B$16+E59*'Find Candidates'!$B$17+F59*'Find Candidates'!$B$18+G59*'Find Candidates'!$B$19+H59*'Find Candidates'!$B$20,0)</f>
        <v>0</v>
      </c>
      <c r="J59" s="140" t="str">
        <f aca="false">IF(AND($B59=1,I59&gt;0),I59-ROW()/10^8,"")</f>
        <v/>
      </c>
    </row>
    <row r="60" customFormat="false" ht="15" hidden="false" customHeight="false" outlineLevel="0" collapsed="false">
      <c r="A60" s="140" t="str">
        <f aca="false">IF(Candidates!A60="","",Candidates!A60)</f>
        <v/>
      </c>
      <c r="B60" s="140" t="str">
        <f aca="false">IF(Candidates!A60="","",IF(AND(Candidates!M60&lt;&gt;"Hired",Candidates!N60&lt;&gt;"Do Not Contact",Candidates!Q60="Yes"),1,0))</f>
        <v/>
      </c>
      <c r="C60" s="140" t="str">
        <f aca="false">IF($B60&lt;&gt;1,"",IF('Find Candidates'!$B$11=0,0,SUMPRODUCT(('Find Candidates'!$B$10:$F$10&lt;&gt;"")*ISNUMBER(SEARCH('Find Candidates'!$B$10:$F$10,Candidates!G60)))/'Find Candidates'!$B$11))</f>
        <v/>
      </c>
      <c r="D60" s="140" t="str">
        <f aca="false">IF($B60&lt;&gt;1,"",IF(N('Find Candidates'!$B$7)=0,1,MIN(1,Candidates!H60/'Find Candidates'!$B$7)))</f>
        <v/>
      </c>
      <c r="E60" s="140" t="str">
        <f aca="false">IF($B60&lt;&gt;1,"",IF(Candidates!F60='Find Candidates'!$B$6,1,0))</f>
        <v/>
      </c>
      <c r="F60" s="140" t="str">
        <f aca="false">IF($B60&lt;&gt;1,"",IF(Candidates!J60='Find Candidates'!$B$8,1,0))</f>
        <v/>
      </c>
      <c r="G60" s="140" t="str">
        <f aca="false">IF($B60&lt;&gt;1,"",IF(Candidates!K60&lt;=30,1,IF(Candidates!K60&lt;=60,0.5,0)))</f>
        <v/>
      </c>
      <c r="H60" s="140" t="str">
        <f aca="false">IF($B60&lt;&gt;1,"",IF(Candidates!I60&lt;='Find Candidates'!$B$9,1,0))</f>
        <v/>
      </c>
      <c r="I60" s="140" t="n">
        <f aca="false">IF($B60=1,C60*'Find Candidates'!$B$15+D60*'Find Candidates'!$B$16+E60*'Find Candidates'!$B$17+F60*'Find Candidates'!$B$18+G60*'Find Candidates'!$B$19+H60*'Find Candidates'!$B$20,0)</f>
        <v>0</v>
      </c>
      <c r="J60" s="140" t="str">
        <f aca="false">IF(AND($B60=1,I60&gt;0),I60-ROW()/10^8,"")</f>
        <v/>
      </c>
    </row>
    <row r="61" customFormat="false" ht="15" hidden="false" customHeight="false" outlineLevel="0" collapsed="false">
      <c r="A61" s="140" t="str">
        <f aca="false">IF(Candidates!A61="","",Candidates!A61)</f>
        <v/>
      </c>
      <c r="B61" s="140" t="str">
        <f aca="false">IF(Candidates!A61="","",IF(AND(Candidates!M61&lt;&gt;"Hired",Candidates!N61&lt;&gt;"Do Not Contact",Candidates!Q61="Yes"),1,0))</f>
        <v/>
      </c>
      <c r="C61" s="140" t="str">
        <f aca="false">IF($B61&lt;&gt;1,"",IF('Find Candidates'!$B$11=0,0,SUMPRODUCT(('Find Candidates'!$B$10:$F$10&lt;&gt;"")*ISNUMBER(SEARCH('Find Candidates'!$B$10:$F$10,Candidates!G61)))/'Find Candidates'!$B$11))</f>
        <v/>
      </c>
      <c r="D61" s="140" t="str">
        <f aca="false">IF($B61&lt;&gt;1,"",IF(N('Find Candidates'!$B$7)=0,1,MIN(1,Candidates!H61/'Find Candidates'!$B$7)))</f>
        <v/>
      </c>
      <c r="E61" s="140" t="str">
        <f aca="false">IF($B61&lt;&gt;1,"",IF(Candidates!F61='Find Candidates'!$B$6,1,0))</f>
        <v/>
      </c>
      <c r="F61" s="140" t="str">
        <f aca="false">IF($B61&lt;&gt;1,"",IF(Candidates!J61='Find Candidates'!$B$8,1,0))</f>
        <v/>
      </c>
      <c r="G61" s="140" t="str">
        <f aca="false">IF($B61&lt;&gt;1,"",IF(Candidates!K61&lt;=30,1,IF(Candidates!K61&lt;=60,0.5,0)))</f>
        <v/>
      </c>
      <c r="H61" s="140" t="str">
        <f aca="false">IF($B61&lt;&gt;1,"",IF(Candidates!I61&lt;='Find Candidates'!$B$9,1,0))</f>
        <v/>
      </c>
      <c r="I61" s="140" t="n">
        <f aca="false">IF($B61=1,C61*'Find Candidates'!$B$15+D61*'Find Candidates'!$B$16+E61*'Find Candidates'!$B$17+F61*'Find Candidates'!$B$18+G61*'Find Candidates'!$B$19+H61*'Find Candidates'!$B$20,0)</f>
        <v>0</v>
      </c>
      <c r="J61" s="140" t="str">
        <f aca="false">IF(AND($B61=1,I61&gt;0),I61-ROW()/10^8,"")</f>
        <v/>
      </c>
    </row>
    <row r="62" customFormat="false" ht="15" hidden="false" customHeight="false" outlineLevel="0" collapsed="false">
      <c r="A62" s="140" t="str">
        <f aca="false">IF(Candidates!A62="","",Candidates!A62)</f>
        <v/>
      </c>
      <c r="B62" s="140" t="str">
        <f aca="false">IF(Candidates!A62="","",IF(AND(Candidates!M62&lt;&gt;"Hired",Candidates!N62&lt;&gt;"Do Not Contact",Candidates!Q62="Yes"),1,0))</f>
        <v/>
      </c>
      <c r="C62" s="140" t="str">
        <f aca="false">IF($B62&lt;&gt;1,"",IF('Find Candidates'!$B$11=0,0,SUMPRODUCT(('Find Candidates'!$B$10:$F$10&lt;&gt;"")*ISNUMBER(SEARCH('Find Candidates'!$B$10:$F$10,Candidates!G62)))/'Find Candidates'!$B$11))</f>
        <v/>
      </c>
      <c r="D62" s="140" t="str">
        <f aca="false">IF($B62&lt;&gt;1,"",IF(N('Find Candidates'!$B$7)=0,1,MIN(1,Candidates!H62/'Find Candidates'!$B$7)))</f>
        <v/>
      </c>
      <c r="E62" s="140" t="str">
        <f aca="false">IF($B62&lt;&gt;1,"",IF(Candidates!F62='Find Candidates'!$B$6,1,0))</f>
        <v/>
      </c>
      <c r="F62" s="140" t="str">
        <f aca="false">IF($B62&lt;&gt;1,"",IF(Candidates!J62='Find Candidates'!$B$8,1,0))</f>
        <v/>
      </c>
      <c r="G62" s="140" t="str">
        <f aca="false">IF($B62&lt;&gt;1,"",IF(Candidates!K62&lt;=30,1,IF(Candidates!K62&lt;=60,0.5,0)))</f>
        <v/>
      </c>
      <c r="H62" s="140" t="str">
        <f aca="false">IF($B62&lt;&gt;1,"",IF(Candidates!I62&lt;='Find Candidates'!$B$9,1,0))</f>
        <v/>
      </c>
      <c r="I62" s="140" t="n">
        <f aca="false">IF($B62=1,C62*'Find Candidates'!$B$15+D62*'Find Candidates'!$B$16+E62*'Find Candidates'!$B$17+F62*'Find Candidates'!$B$18+G62*'Find Candidates'!$B$19+H62*'Find Candidates'!$B$20,0)</f>
        <v>0</v>
      </c>
      <c r="J62" s="140" t="str">
        <f aca="false">IF(AND($B62=1,I62&gt;0),I62-ROW()/10^8,"")</f>
        <v/>
      </c>
    </row>
    <row r="63" customFormat="false" ht="15" hidden="false" customHeight="false" outlineLevel="0" collapsed="false">
      <c r="A63" s="140" t="str">
        <f aca="false">IF(Candidates!A63="","",Candidates!A63)</f>
        <v/>
      </c>
      <c r="B63" s="140" t="str">
        <f aca="false">IF(Candidates!A63="","",IF(AND(Candidates!M63&lt;&gt;"Hired",Candidates!N63&lt;&gt;"Do Not Contact",Candidates!Q63="Yes"),1,0))</f>
        <v/>
      </c>
      <c r="C63" s="140" t="str">
        <f aca="false">IF($B63&lt;&gt;1,"",IF('Find Candidates'!$B$11=0,0,SUMPRODUCT(('Find Candidates'!$B$10:$F$10&lt;&gt;"")*ISNUMBER(SEARCH('Find Candidates'!$B$10:$F$10,Candidates!G63)))/'Find Candidates'!$B$11))</f>
        <v/>
      </c>
      <c r="D63" s="140" t="str">
        <f aca="false">IF($B63&lt;&gt;1,"",IF(N('Find Candidates'!$B$7)=0,1,MIN(1,Candidates!H63/'Find Candidates'!$B$7)))</f>
        <v/>
      </c>
      <c r="E63" s="140" t="str">
        <f aca="false">IF($B63&lt;&gt;1,"",IF(Candidates!F63='Find Candidates'!$B$6,1,0))</f>
        <v/>
      </c>
      <c r="F63" s="140" t="str">
        <f aca="false">IF($B63&lt;&gt;1,"",IF(Candidates!J63='Find Candidates'!$B$8,1,0))</f>
        <v/>
      </c>
      <c r="G63" s="140" t="str">
        <f aca="false">IF($B63&lt;&gt;1,"",IF(Candidates!K63&lt;=30,1,IF(Candidates!K63&lt;=60,0.5,0)))</f>
        <v/>
      </c>
      <c r="H63" s="140" t="str">
        <f aca="false">IF($B63&lt;&gt;1,"",IF(Candidates!I63&lt;='Find Candidates'!$B$9,1,0))</f>
        <v/>
      </c>
      <c r="I63" s="140" t="n">
        <f aca="false">IF($B63=1,C63*'Find Candidates'!$B$15+D63*'Find Candidates'!$B$16+E63*'Find Candidates'!$B$17+F63*'Find Candidates'!$B$18+G63*'Find Candidates'!$B$19+H63*'Find Candidates'!$B$20,0)</f>
        <v>0</v>
      </c>
      <c r="J63" s="140" t="str">
        <f aca="false">IF(AND($B63=1,I63&gt;0),I63-ROW()/10^8,"")</f>
        <v/>
      </c>
    </row>
    <row r="64" customFormat="false" ht="15" hidden="false" customHeight="false" outlineLevel="0" collapsed="false">
      <c r="A64" s="140" t="str">
        <f aca="false">IF(Candidates!A64="","",Candidates!A64)</f>
        <v/>
      </c>
      <c r="B64" s="140" t="str">
        <f aca="false">IF(Candidates!A64="","",IF(AND(Candidates!M64&lt;&gt;"Hired",Candidates!N64&lt;&gt;"Do Not Contact",Candidates!Q64="Yes"),1,0))</f>
        <v/>
      </c>
      <c r="C64" s="140" t="str">
        <f aca="false">IF($B64&lt;&gt;1,"",IF('Find Candidates'!$B$11=0,0,SUMPRODUCT(('Find Candidates'!$B$10:$F$10&lt;&gt;"")*ISNUMBER(SEARCH('Find Candidates'!$B$10:$F$10,Candidates!G64)))/'Find Candidates'!$B$11))</f>
        <v/>
      </c>
      <c r="D64" s="140" t="str">
        <f aca="false">IF($B64&lt;&gt;1,"",IF(N('Find Candidates'!$B$7)=0,1,MIN(1,Candidates!H64/'Find Candidates'!$B$7)))</f>
        <v/>
      </c>
      <c r="E64" s="140" t="str">
        <f aca="false">IF($B64&lt;&gt;1,"",IF(Candidates!F64='Find Candidates'!$B$6,1,0))</f>
        <v/>
      </c>
      <c r="F64" s="140" t="str">
        <f aca="false">IF($B64&lt;&gt;1,"",IF(Candidates!J64='Find Candidates'!$B$8,1,0))</f>
        <v/>
      </c>
      <c r="G64" s="140" t="str">
        <f aca="false">IF($B64&lt;&gt;1,"",IF(Candidates!K64&lt;=30,1,IF(Candidates!K64&lt;=60,0.5,0)))</f>
        <v/>
      </c>
      <c r="H64" s="140" t="str">
        <f aca="false">IF($B64&lt;&gt;1,"",IF(Candidates!I64&lt;='Find Candidates'!$B$9,1,0))</f>
        <v/>
      </c>
      <c r="I64" s="140" t="n">
        <f aca="false">IF($B64=1,C64*'Find Candidates'!$B$15+D64*'Find Candidates'!$B$16+E64*'Find Candidates'!$B$17+F64*'Find Candidates'!$B$18+G64*'Find Candidates'!$B$19+H64*'Find Candidates'!$B$20,0)</f>
        <v>0</v>
      </c>
      <c r="J64" s="140" t="str">
        <f aca="false">IF(AND($B64=1,I64&gt;0),I64-ROW()/10^8,"")</f>
        <v/>
      </c>
    </row>
    <row r="65" customFormat="false" ht="15" hidden="false" customHeight="false" outlineLevel="0" collapsed="false">
      <c r="A65" s="140" t="str">
        <f aca="false">IF(Candidates!A65="","",Candidates!A65)</f>
        <v/>
      </c>
      <c r="B65" s="140" t="str">
        <f aca="false">IF(Candidates!A65="","",IF(AND(Candidates!M65&lt;&gt;"Hired",Candidates!N65&lt;&gt;"Do Not Contact",Candidates!Q65="Yes"),1,0))</f>
        <v/>
      </c>
      <c r="C65" s="140" t="str">
        <f aca="false">IF($B65&lt;&gt;1,"",IF('Find Candidates'!$B$11=0,0,SUMPRODUCT(('Find Candidates'!$B$10:$F$10&lt;&gt;"")*ISNUMBER(SEARCH('Find Candidates'!$B$10:$F$10,Candidates!G65)))/'Find Candidates'!$B$11))</f>
        <v/>
      </c>
      <c r="D65" s="140" t="str">
        <f aca="false">IF($B65&lt;&gt;1,"",IF(N('Find Candidates'!$B$7)=0,1,MIN(1,Candidates!H65/'Find Candidates'!$B$7)))</f>
        <v/>
      </c>
      <c r="E65" s="140" t="str">
        <f aca="false">IF($B65&lt;&gt;1,"",IF(Candidates!F65='Find Candidates'!$B$6,1,0))</f>
        <v/>
      </c>
      <c r="F65" s="140" t="str">
        <f aca="false">IF($B65&lt;&gt;1,"",IF(Candidates!J65='Find Candidates'!$B$8,1,0))</f>
        <v/>
      </c>
      <c r="G65" s="140" t="str">
        <f aca="false">IF($B65&lt;&gt;1,"",IF(Candidates!K65&lt;=30,1,IF(Candidates!K65&lt;=60,0.5,0)))</f>
        <v/>
      </c>
      <c r="H65" s="140" t="str">
        <f aca="false">IF($B65&lt;&gt;1,"",IF(Candidates!I65&lt;='Find Candidates'!$B$9,1,0))</f>
        <v/>
      </c>
      <c r="I65" s="140" t="n">
        <f aca="false">IF($B65=1,C65*'Find Candidates'!$B$15+D65*'Find Candidates'!$B$16+E65*'Find Candidates'!$B$17+F65*'Find Candidates'!$B$18+G65*'Find Candidates'!$B$19+H65*'Find Candidates'!$B$20,0)</f>
        <v>0</v>
      </c>
      <c r="J65" s="140" t="str">
        <f aca="false">IF(AND($B65=1,I65&gt;0),I65-ROW()/10^8,"")</f>
        <v/>
      </c>
    </row>
    <row r="66" customFormat="false" ht="15" hidden="false" customHeight="false" outlineLevel="0" collapsed="false">
      <c r="A66" s="140" t="str">
        <f aca="false">IF(Candidates!A66="","",Candidates!A66)</f>
        <v/>
      </c>
      <c r="B66" s="140" t="str">
        <f aca="false">IF(Candidates!A66="","",IF(AND(Candidates!M66&lt;&gt;"Hired",Candidates!N66&lt;&gt;"Do Not Contact",Candidates!Q66="Yes"),1,0))</f>
        <v/>
      </c>
      <c r="C66" s="140" t="str">
        <f aca="false">IF($B66&lt;&gt;1,"",IF('Find Candidates'!$B$11=0,0,SUMPRODUCT(('Find Candidates'!$B$10:$F$10&lt;&gt;"")*ISNUMBER(SEARCH('Find Candidates'!$B$10:$F$10,Candidates!G66)))/'Find Candidates'!$B$11))</f>
        <v/>
      </c>
      <c r="D66" s="140" t="str">
        <f aca="false">IF($B66&lt;&gt;1,"",IF(N('Find Candidates'!$B$7)=0,1,MIN(1,Candidates!H66/'Find Candidates'!$B$7)))</f>
        <v/>
      </c>
      <c r="E66" s="140" t="str">
        <f aca="false">IF($B66&lt;&gt;1,"",IF(Candidates!F66='Find Candidates'!$B$6,1,0))</f>
        <v/>
      </c>
      <c r="F66" s="140" t="str">
        <f aca="false">IF($B66&lt;&gt;1,"",IF(Candidates!J66='Find Candidates'!$B$8,1,0))</f>
        <v/>
      </c>
      <c r="G66" s="140" t="str">
        <f aca="false">IF($B66&lt;&gt;1,"",IF(Candidates!K66&lt;=30,1,IF(Candidates!K66&lt;=60,0.5,0)))</f>
        <v/>
      </c>
      <c r="H66" s="140" t="str">
        <f aca="false">IF($B66&lt;&gt;1,"",IF(Candidates!I66&lt;='Find Candidates'!$B$9,1,0))</f>
        <v/>
      </c>
      <c r="I66" s="140" t="n">
        <f aca="false">IF($B66=1,C66*'Find Candidates'!$B$15+D66*'Find Candidates'!$B$16+E66*'Find Candidates'!$B$17+F66*'Find Candidates'!$B$18+G66*'Find Candidates'!$B$19+H66*'Find Candidates'!$B$20,0)</f>
        <v>0</v>
      </c>
      <c r="J66" s="140" t="str">
        <f aca="false">IF(AND($B66=1,I66&gt;0),I66-ROW()/10^8,"")</f>
        <v/>
      </c>
    </row>
    <row r="67" customFormat="false" ht="15" hidden="false" customHeight="false" outlineLevel="0" collapsed="false">
      <c r="A67" s="140" t="str">
        <f aca="false">IF(Candidates!A67="","",Candidates!A67)</f>
        <v/>
      </c>
      <c r="B67" s="140" t="str">
        <f aca="false">IF(Candidates!A67="","",IF(AND(Candidates!M67&lt;&gt;"Hired",Candidates!N67&lt;&gt;"Do Not Contact",Candidates!Q67="Yes"),1,0))</f>
        <v/>
      </c>
      <c r="C67" s="140" t="str">
        <f aca="false">IF($B67&lt;&gt;1,"",IF('Find Candidates'!$B$11=0,0,SUMPRODUCT(('Find Candidates'!$B$10:$F$10&lt;&gt;"")*ISNUMBER(SEARCH('Find Candidates'!$B$10:$F$10,Candidates!G67)))/'Find Candidates'!$B$11))</f>
        <v/>
      </c>
      <c r="D67" s="140" t="str">
        <f aca="false">IF($B67&lt;&gt;1,"",IF(N('Find Candidates'!$B$7)=0,1,MIN(1,Candidates!H67/'Find Candidates'!$B$7)))</f>
        <v/>
      </c>
      <c r="E67" s="140" t="str">
        <f aca="false">IF($B67&lt;&gt;1,"",IF(Candidates!F67='Find Candidates'!$B$6,1,0))</f>
        <v/>
      </c>
      <c r="F67" s="140" t="str">
        <f aca="false">IF($B67&lt;&gt;1,"",IF(Candidates!J67='Find Candidates'!$B$8,1,0))</f>
        <v/>
      </c>
      <c r="G67" s="140" t="str">
        <f aca="false">IF($B67&lt;&gt;1,"",IF(Candidates!K67&lt;=30,1,IF(Candidates!K67&lt;=60,0.5,0)))</f>
        <v/>
      </c>
      <c r="H67" s="140" t="str">
        <f aca="false">IF($B67&lt;&gt;1,"",IF(Candidates!I67&lt;='Find Candidates'!$B$9,1,0))</f>
        <v/>
      </c>
      <c r="I67" s="140" t="n">
        <f aca="false">IF($B67=1,C67*'Find Candidates'!$B$15+D67*'Find Candidates'!$B$16+E67*'Find Candidates'!$B$17+F67*'Find Candidates'!$B$18+G67*'Find Candidates'!$B$19+H67*'Find Candidates'!$B$20,0)</f>
        <v>0</v>
      </c>
      <c r="J67" s="140" t="str">
        <f aca="false">IF(AND($B67=1,I67&gt;0),I67-ROW()/10^8,"")</f>
        <v/>
      </c>
    </row>
    <row r="68" customFormat="false" ht="15" hidden="false" customHeight="false" outlineLevel="0" collapsed="false">
      <c r="A68" s="140" t="str">
        <f aca="false">IF(Candidates!A68="","",Candidates!A68)</f>
        <v/>
      </c>
      <c r="B68" s="140" t="str">
        <f aca="false">IF(Candidates!A68="","",IF(AND(Candidates!M68&lt;&gt;"Hired",Candidates!N68&lt;&gt;"Do Not Contact",Candidates!Q68="Yes"),1,0))</f>
        <v/>
      </c>
      <c r="C68" s="140" t="str">
        <f aca="false">IF($B68&lt;&gt;1,"",IF('Find Candidates'!$B$11=0,0,SUMPRODUCT(('Find Candidates'!$B$10:$F$10&lt;&gt;"")*ISNUMBER(SEARCH('Find Candidates'!$B$10:$F$10,Candidates!G68)))/'Find Candidates'!$B$11))</f>
        <v/>
      </c>
      <c r="D68" s="140" t="str">
        <f aca="false">IF($B68&lt;&gt;1,"",IF(N('Find Candidates'!$B$7)=0,1,MIN(1,Candidates!H68/'Find Candidates'!$B$7)))</f>
        <v/>
      </c>
      <c r="E68" s="140" t="str">
        <f aca="false">IF($B68&lt;&gt;1,"",IF(Candidates!F68='Find Candidates'!$B$6,1,0))</f>
        <v/>
      </c>
      <c r="F68" s="140" t="str">
        <f aca="false">IF($B68&lt;&gt;1,"",IF(Candidates!J68='Find Candidates'!$B$8,1,0))</f>
        <v/>
      </c>
      <c r="G68" s="140" t="str">
        <f aca="false">IF($B68&lt;&gt;1,"",IF(Candidates!K68&lt;=30,1,IF(Candidates!K68&lt;=60,0.5,0)))</f>
        <v/>
      </c>
      <c r="H68" s="140" t="str">
        <f aca="false">IF($B68&lt;&gt;1,"",IF(Candidates!I68&lt;='Find Candidates'!$B$9,1,0))</f>
        <v/>
      </c>
      <c r="I68" s="140" t="n">
        <f aca="false">IF($B68=1,C68*'Find Candidates'!$B$15+D68*'Find Candidates'!$B$16+E68*'Find Candidates'!$B$17+F68*'Find Candidates'!$B$18+G68*'Find Candidates'!$B$19+H68*'Find Candidates'!$B$20,0)</f>
        <v>0</v>
      </c>
      <c r="J68" s="140" t="str">
        <f aca="false">IF(AND($B68=1,I68&gt;0),I68-ROW()/10^8,"")</f>
        <v/>
      </c>
    </row>
    <row r="69" customFormat="false" ht="15" hidden="false" customHeight="false" outlineLevel="0" collapsed="false">
      <c r="A69" s="140" t="str">
        <f aca="false">IF(Candidates!A69="","",Candidates!A69)</f>
        <v/>
      </c>
      <c r="B69" s="140" t="str">
        <f aca="false">IF(Candidates!A69="","",IF(AND(Candidates!M69&lt;&gt;"Hired",Candidates!N69&lt;&gt;"Do Not Contact",Candidates!Q69="Yes"),1,0))</f>
        <v/>
      </c>
      <c r="C69" s="140" t="str">
        <f aca="false">IF($B69&lt;&gt;1,"",IF('Find Candidates'!$B$11=0,0,SUMPRODUCT(('Find Candidates'!$B$10:$F$10&lt;&gt;"")*ISNUMBER(SEARCH('Find Candidates'!$B$10:$F$10,Candidates!G69)))/'Find Candidates'!$B$11))</f>
        <v/>
      </c>
      <c r="D69" s="140" t="str">
        <f aca="false">IF($B69&lt;&gt;1,"",IF(N('Find Candidates'!$B$7)=0,1,MIN(1,Candidates!H69/'Find Candidates'!$B$7)))</f>
        <v/>
      </c>
      <c r="E69" s="140" t="str">
        <f aca="false">IF($B69&lt;&gt;1,"",IF(Candidates!F69='Find Candidates'!$B$6,1,0))</f>
        <v/>
      </c>
      <c r="F69" s="140" t="str">
        <f aca="false">IF($B69&lt;&gt;1,"",IF(Candidates!J69='Find Candidates'!$B$8,1,0))</f>
        <v/>
      </c>
      <c r="G69" s="140" t="str">
        <f aca="false">IF($B69&lt;&gt;1,"",IF(Candidates!K69&lt;=30,1,IF(Candidates!K69&lt;=60,0.5,0)))</f>
        <v/>
      </c>
      <c r="H69" s="140" t="str">
        <f aca="false">IF($B69&lt;&gt;1,"",IF(Candidates!I69&lt;='Find Candidates'!$B$9,1,0))</f>
        <v/>
      </c>
      <c r="I69" s="140" t="n">
        <f aca="false">IF($B69=1,C69*'Find Candidates'!$B$15+D69*'Find Candidates'!$B$16+E69*'Find Candidates'!$B$17+F69*'Find Candidates'!$B$18+G69*'Find Candidates'!$B$19+H69*'Find Candidates'!$B$20,0)</f>
        <v>0</v>
      </c>
      <c r="J69" s="140" t="str">
        <f aca="false">IF(AND($B69=1,I69&gt;0),I69-ROW()/10^8,"")</f>
        <v/>
      </c>
    </row>
    <row r="70" customFormat="false" ht="15" hidden="false" customHeight="false" outlineLevel="0" collapsed="false">
      <c r="A70" s="140" t="str">
        <f aca="false">IF(Candidates!A70="","",Candidates!A70)</f>
        <v/>
      </c>
      <c r="B70" s="140" t="str">
        <f aca="false">IF(Candidates!A70="","",IF(AND(Candidates!M70&lt;&gt;"Hired",Candidates!N70&lt;&gt;"Do Not Contact",Candidates!Q70="Yes"),1,0))</f>
        <v/>
      </c>
      <c r="C70" s="140" t="str">
        <f aca="false">IF($B70&lt;&gt;1,"",IF('Find Candidates'!$B$11=0,0,SUMPRODUCT(('Find Candidates'!$B$10:$F$10&lt;&gt;"")*ISNUMBER(SEARCH('Find Candidates'!$B$10:$F$10,Candidates!G70)))/'Find Candidates'!$B$11))</f>
        <v/>
      </c>
      <c r="D70" s="140" t="str">
        <f aca="false">IF($B70&lt;&gt;1,"",IF(N('Find Candidates'!$B$7)=0,1,MIN(1,Candidates!H70/'Find Candidates'!$B$7)))</f>
        <v/>
      </c>
      <c r="E70" s="140" t="str">
        <f aca="false">IF($B70&lt;&gt;1,"",IF(Candidates!F70='Find Candidates'!$B$6,1,0))</f>
        <v/>
      </c>
      <c r="F70" s="140" t="str">
        <f aca="false">IF($B70&lt;&gt;1,"",IF(Candidates!J70='Find Candidates'!$B$8,1,0))</f>
        <v/>
      </c>
      <c r="G70" s="140" t="str">
        <f aca="false">IF($B70&lt;&gt;1,"",IF(Candidates!K70&lt;=30,1,IF(Candidates!K70&lt;=60,0.5,0)))</f>
        <v/>
      </c>
      <c r="H70" s="140" t="str">
        <f aca="false">IF($B70&lt;&gt;1,"",IF(Candidates!I70&lt;='Find Candidates'!$B$9,1,0))</f>
        <v/>
      </c>
      <c r="I70" s="140" t="n">
        <f aca="false">IF($B70=1,C70*'Find Candidates'!$B$15+D70*'Find Candidates'!$B$16+E70*'Find Candidates'!$B$17+F70*'Find Candidates'!$B$18+G70*'Find Candidates'!$B$19+H70*'Find Candidates'!$B$20,0)</f>
        <v>0</v>
      </c>
      <c r="J70" s="140" t="str">
        <f aca="false">IF(AND($B70=1,I70&gt;0),I70-ROW()/10^8,"")</f>
        <v/>
      </c>
    </row>
    <row r="71" customFormat="false" ht="15" hidden="false" customHeight="false" outlineLevel="0" collapsed="false">
      <c r="A71" s="140" t="str">
        <f aca="false">IF(Candidates!A71="","",Candidates!A71)</f>
        <v/>
      </c>
      <c r="B71" s="140" t="str">
        <f aca="false">IF(Candidates!A71="","",IF(AND(Candidates!M71&lt;&gt;"Hired",Candidates!N71&lt;&gt;"Do Not Contact",Candidates!Q71="Yes"),1,0))</f>
        <v/>
      </c>
      <c r="C71" s="140" t="str">
        <f aca="false">IF($B71&lt;&gt;1,"",IF('Find Candidates'!$B$11=0,0,SUMPRODUCT(('Find Candidates'!$B$10:$F$10&lt;&gt;"")*ISNUMBER(SEARCH('Find Candidates'!$B$10:$F$10,Candidates!G71)))/'Find Candidates'!$B$11))</f>
        <v/>
      </c>
      <c r="D71" s="140" t="str">
        <f aca="false">IF($B71&lt;&gt;1,"",IF(N('Find Candidates'!$B$7)=0,1,MIN(1,Candidates!H71/'Find Candidates'!$B$7)))</f>
        <v/>
      </c>
      <c r="E71" s="140" t="str">
        <f aca="false">IF($B71&lt;&gt;1,"",IF(Candidates!F71='Find Candidates'!$B$6,1,0))</f>
        <v/>
      </c>
      <c r="F71" s="140" t="str">
        <f aca="false">IF($B71&lt;&gt;1,"",IF(Candidates!J71='Find Candidates'!$B$8,1,0))</f>
        <v/>
      </c>
      <c r="G71" s="140" t="str">
        <f aca="false">IF($B71&lt;&gt;1,"",IF(Candidates!K71&lt;=30,1,IF(Candidates!K71&lt;=60,0.5,0)))</f>
        <v/>
      </c>
      <c r="H71" s="140" t="str">
        <f aca="false">IF($B71&lt;&gt;1,"",IF(Candidates!I71&lt;='Find Candidates'!$B$9,1,0))</f>
        <v/>
      </c>
      <c r="I71" s="140" t="n">
        <f aca="false">IF($B71=1,C71*'Find Candidates'!$B$15+D71*'Find Candidates'!$B$16+E71*'Find Candidates'!$B$17+F71*'Find Candidates'!$B$18+G71*'Find Candidates'!$B$19+H71*'Find Candidates'!$B$20,0)</f>
        <v>0</v>
      </c>
      <c r="J71" s="140" t="str">
        <f aca="false">IF(AND($B71=1,I71&gt;0),I71-ROW()/10^8,"")</f>
        <v/>
      </c>
    </row>
    <row r="72" customFormat="false" ht="15" hidden="false" customHeight="false" outlineLevel="0" collapsed="false">
      <c r="A72" s="140" t="str">
        <f aca="false">IF(Candidates!A72="","",Candidates!A72)</f>
        <v/>
      </c>
      <c r="B72" s="140" t="str">
        <f aca="false">IF(Candidates!A72="","",IF(AND(Candidates!M72&lt;&gt;"Hired",Candidates!N72&lt;&gt;"Do Not Contact",Candidates!Q72="Yes"),1,0))</f>
        <v/>
      </c>
      <c r="C72" s="140" t="str">
        <f aca="false">IF($B72&lt;&gt;1,"",IF('Find Candidates'!$B$11=0,0,SUMPRODUCT(('Find Candidates'!$B$10:$F$10&lt;&gt;"")*ISNUMBER(SEARCH('Find Candidates'!$B$10:$F$10,Candidates!G72)))/'Find Candidates'!$B$11))</f>
        <v/>
      </c>
      <c r="D72" s="140" t="str">
        <f aca="false">IF($B72&lt;&gt;1,"",IF(N('Find Candidates'!$B$7)=0,1,MIN(1,Candidates!H72/'Find Candidates'!$B$7)))</f>
        <v/>
      </c>
      <c r="E72" s="140" t="str">
        <f aca="false">IF($B72&lt;&gt;1,"",IF(Candidates!F72='Find Candidates'!$B$6,1,0))</f>
        <v/>
      </c>
      <c r="F72" s="140" t="str">
        <f aca="false">IF($B72&lt;&gt;1,"",IF(Candidates!J72='Find Candidates'!$B$8,1,0))</f>
        <v/>
      </c>
      <c r="G72" s="140" t="str">
        <f aca="false">IF($B72&lt;&gt;1,"",IF(Candidates!K72&lt;=30,1,IF(Candidates!K72&lt;=60,0.5,0)))</f>
        <v/>
      </c>
      <c r="H72" s="140" t="str">
        <f aca="false">IF($B72&lt;&gt;1,"",IF(Candidates!I72&lt;='Find Candidates'!$B$9,1,0))</f>
        <v/>
      </c>
      <c r="I72" s="140" t="n">
        <f aca="false">IF($B72=1,C72*'Find Candidates'!$B$15+D72*'Find Candidates'!$B$16+E72*'Find Candidates'!$B$17+F72*'Find Candidates'!$B$18+G72*'Find Candidates'!$B$19+H72*'Find Candidates'!$B$20,0)</f>
        <v>0</v>
      </c>
      <c r="J72" s="140" t="str">
        <f aca="false">IF(AND($B72=1,I72&gt;0),I72-ROW()/10^8,"")</f>
        <v/>
      </c>
    </row>
    <row r="73" customFormat="false" ht="15" hidden="false" customHeight="false" outlineLevel="0" collapsed="false">
      <c r="A73" s="140" t="str">
        <f aca="false">IF(Candidates!A73="","",Candidates!A73)</f>
        <v/>
      </c>
      <c r="B73" s="140" t="str">
        <f aca="false">IF(Candidates!A73="","",IF(AND(Candidates!M73&lt;&gt;"Hired",Candidates!N73&lt;&gt;"Do Not Contact",Candidates!Q73="Yes"),1,0))</f>
        <v/>
      </c>
      <c r="C73" s="140" t="str">
        <f aca="false">IF($B73&lt;&gt;1,"",IF('Find Candidates'!$B$11=0,0,SUMPRODUCT(('Find Candidates'!$B$10:$F$10&lt;&gt;"")*ISNUMBER(SEARCH('Find Candidates'!$B$10:$F$10,Candidates!G73)))/'Find Candidates'!$B$11))</f>
        <v/>
      </c>
      <c r="D73" s="140" t="str">
        <f aca="false">IF($B73&lt;&gt;1,"",IF(N('Find Candidates'!$B$7)=0,1,MIN(1,Candidates!H73/'Find Candidates'!$B$7)))</f>
        <v/>
      </c>
      <c r="E73" s="140" t="str">
        <f aca="false">IF($B73&lt;&gt;1,"",IF(Candidates!F73='Find Candidates'!$B$6,1,0))</f>
        <v/>
      </c>
      <c r="F73" s="140" t="str">
        <f aca="false">IF($B73&lt;&gt;1,"",IF(Candidates!J73='Find Candidates'!$B$8,1,0))</f>
        <v/>
      </c>
      <c r="G73" s="140" t="str">
        <f aca="false">IF($B73&lt;&gt;1,"",IF(Candidates!K73&lt;=30,1,IF(Candidates!K73&lt;=60,0.5,0)))</f>
        <v/>
      </c>
      <c r="H73" s="140" t="str">
        <f aca="false">IF($B73&lt;&gt;1,"",IF(Candidates!I73&lt;='Find Candidates'!$B$9,1,0))</f>
        <v/>
      </c>
      <c r="I73" s="140" t="n">
        <f aca="false">IF($B73=1,C73*'Find Candidates'!$B$15+D73*'Find Candidates'!$B$16+E73*'Find Candidates'!$B$17+F73*'Find Candidates'!$B$18+G73*'Find Candidates'!$B$19+H73*'Find Candidates'!$B$20,0)</f>
        <v>0</v>
      </c>
      <c r="J73" s="140" t="str">
        <f aca="false">IF(AND($B73=1,I73&gt;0),I73-ROW()/10^8,"")</f>
        <v/>
      </c>
    </row>
    <row r="74" customFormat="false" ht="15" hidden="false" customHeight="false" outlineLevel="0" collapsed="false">
      <c r="A74" s="140" t="str">
        <f aca="false">IF(Candidates!A74="","",Candidates!A74)</f>
        <v/>
      </c>
      <c r="B74" s="140" t="str">
        <f aca="false">IF(Candidates!A74="","",IF(AND(Candidates!M74&lt;&gt;"Hired",Candidates!N74&lt;&gt;"Do Not Contact",Candidates!Q74="Yes"),1,0))</f>
        <v/>
      </c>
      <c r="C74" s="140" t="str">
        <f aca="false">IF($B74&lt;&gt;1,"",IF('Find Candidates'!$B$11=0,0,SUMPRODUCT(('Find Candidates'!$B$10:$F$10&lt;&gt;"")*ISNUMBER(SEARCH('Find Candidates'!$B$10:$F$10,Candidates!G74)))/'Find Candidates'!$B$11))</f>
        <v/>
      </c>
      <c r="D74" s="140" t="str">
        <f aca="false">IF($B74&lt;&gt;1,"",IF(N('Find Candidates'!$B$7)=0,1,MIN(1,Candidates!H74/'Find Candidates'!$B$7)))</f>
        <v/>
      </c>
      <c r="E74" s="140" t="str">
        <f aca="false">IF($B74&lt;&gt;1,"",IF(Candidates!F74='Find Candidates'!$B$6,1,0))</f>
        <v/>
      </c>
      <c r="F74" s="140" t="str">
        <f aca="false">IF($B74&lt;&gt;1,"",IF(Candidates!J74='Find Candidates'!$B$8,1,0))</f>
        <v/>
      </c>
      <c r="G74" s="140" t="str">
        <f aca="false">IF($B74&lt;&gt;1,"",IF(Candidates!K74&lt;=30,1,IF(Candidates!K74&lt;=60,0.5,0)))</f>
        <v/>
      </c>
      <c r="H74" s="140" t="str">
        <f aca="false">IF($B74&lt;&gt;1,"",IF(Candidates!I74&lt;='Find Candidates'!$B$9,1,0))</f>
        <v/>
      </c>
      <c r="I74" s="140" t="n">
        <f aca="false">IF($B74=1,C74*'Find Candidates'!$B$15+D74*'Find Candidates'!$B$16+E74*'Find Candidates'!$B$17+F74*'Find Candidates'!$B$18+G74*'Find Candidates'!$B$19+H74*'Find Candidates'!$B$20,0)</f>
        <v>0</v>
      </c>
      <c r="J74" s="140" t="str">
        <f aca="false">IF(AND($B74=1,I74&gt;0),I74-ROW()/10^8,"")</f>
        <v/>
      </c>
    </row>
    <row r="75" customFormat="false" ht="15" hidden="false" customHeight="false" outlineLevel="0" collapsed="false">
      <c r="A75" s="140" t="str">
        <f aca="false">IF(Candidates!A75="","",Candidates!A75)</f>
        <v/>
      </c>
      <c r="B75" s="140" t="str">
        <f aca="false">IF(Candidates!A75="","",IF(AND(Candidates!M75&lt;&gt;"Hired",Candidates!N75&lt;&gt;"Do Not Contact",Candidates!Q75="Yes"),1,0))</f>
        <v/>
      </c>
      <c r="C75" s="140" t="str">
        <f aca="false">IF($B75&lt;&gt;1,"",IF('Find Candidates'!$B$11=0,0,SUMPRODUCT(('Find Candidates'!$B$10:$F$10&lt;&gt;"")*ISNUMBER(SEARCH('Find Candidates'!$B$10:$F$10,Candidates!G75)))/'Find Candidates'!$B$11))</f>
        <v/>
      </c>
      <c r="D75" s="140" t="str">
        <f aca="false">IF($B75&lt;&gt;1,"",IF(N('Find Candidates'!$B$7)=0,1,MIN(1,Candidates!H75/'Find Candidates'!$B$7)))</f>
        <v/>
      </c>
      <c r="E75" s="140" t="str">
        <f aca="false">IF($B75&lt;&gt;1,"",IF(Candidates!F75='Find Candidates'!$B$6,1,0))</f>
        <v/>
      </c>
      <c r="F75" s="140" t="str">
        <f aca="false">IF($B75&lt;&gt;1,"",IF(Candidates!J75='Find Candidates'!$B$8,1,0))</f>
        <v/>
      </c>
      <c r="G75" s="140" t="str">
        <f aca="false">IF($B75&lt;&gt;1,"",IF(Candidates!K75&lt;=30,1,IF(Candidates!K75&lt;=60,0.5,0)))</f>
        <v/>
      </c>
      <c r="H75" s="140" t="str">
        <f aca="false">IF($B75&lt;&gt;1,"",IF(Candidates!I75&lt;='Find Candidates'!$B$9,1,0))</f>
        <v/>
      </c>
      <c r="I75" s="140" t="n">
        <f aca="false">IF($B75=1,C75*'Find Candidates'!$B$15+D75*'Find Candidates'!$B$16+E75*'Find Candidates'!$B$17+F75*'Find Candidates'!$B$18+G75*'Find Candidates'!$B$19+H75*'Find Candidates'!$B$20,0)</f>
        <v>0</v>
      </c>
      <c r="J75" s="140" t="str">
        <f aca="false">IF(AND($B75=1,I75&gt;0),I75-ROW()/10^8,"")</f>
        <v/>
      </c>
    </row>
    <row r="76" customFormat="false" ht="15" hidden="false" customHeight="false" outlineLevel="0" collapsed="false">
      <c r="A76" s="140" t="str">
        <f aca="false">IF(Candidates!A76="","",Candidates!A76)</f>
        <v/>
      </c>
      <c r="B76" s="140" t="str">
        <f aca="false">IF(Candidates!A76="","",IF(AND(Candidates!M76&lt;&gt;"Hired",Candidates!N76&lt;&gt;"Do Not Contact",Candidates!Q76="Yes"),1,0))</f>
        <v/>
      </c>
      <c r="C76" s="140" t="str">
        <f aca="false">IF($B76&lt;&gt;1,"",IF('Find Candidates'!$B$11=0,0,SUMPRODUCT(('Find Candidates'!$B$10:$F$10&lt;&gt;"")*ISNUMBER(SEARCH('Find Candidates'!$B$10:$F$10,Candidates!G76)))/'Find Candidates'!$B$11))</f>
        <v/>
      </c>
      <c r="D76" s="140" t="str">
        <f aca="false">IF($B76&lt;&gt;1,"",IF(N('Find Candidates'!$B$7)=0,1,MIN(1,Candidates!H76/'Find Candidates'!$B$7)))</f>
        <v/>
      </c>
      <c r="E76" s="140" t="str">
        <f aca="false">IF($B76&lt;&gt;1,"",IF(Candidates!F76='Find Candidates'!$B$6,1,0))</f>
        <v/>
      </c>
      <c r="F76" s="140" t="str">
        <f aca="false">IF($B76&lt;&gt;1,"",IF(Candidates!J76='Find Candidates'!$B$8,1,0))</f>
        <v/>
      </c>
      <c r="G76" s="140" t="str">
        <f aca="false">IF($B76&lt;&gt;1,"",IF(Candidates!K76&lt;=30,1,IF(Candidates!K76&lt;=60,0.5,0)))</f>
        <v/>
      </c>
      <c r="H76" s="140" t="str">
        <f aca="false">IF($B76&lt;&gt;1,"",IF(Candidates!I76&lt;='Find Candidates'!$B$9,1,0))</f>
        <v/>
      </c>
      <c r="I76" s="140" t="n">
        <f aca="false">IF($B76=1,C76*'Find Candidates'!$B$15+D76*'Find Candidates'!$B$16+E76*'Find Candidates'!$B$17+F76*'Find Candidates'!$B$18+G76*'Find Candidates'!$B$19+H76*'Find Candidates'!$B$20,0)</f>
        <v>0</v>
      </c>
      <c r="J76" s="140" t="str">
        <f aca="false">IF(AND($B76=1,I76&gt;0),I76-ROW()/10^8,"")</f>
        <v/>
      </c>
    </row>
    <row r="77" customFormat="false" ht="15" hidden="false" customHeight="false" outlineLevel="0" collapsed="false">
      <c r="A77" s="140" t="str">
        <f aca="false">IF(Candidates!A77="","",Candidates!A77)</f>
        <v/>
      </c>
      <c r="B77" s="140" t="str">
        <f aca="false">IF(Candidates!A77="","",IF(AND(Candidates!M77&lt;&gt;"Hired",Candidates!N77&lt;&gt;"Do Not Contact",Candidates!Q77="Yes"),1,0))</f>
        <v/>
      </c>
      <c r="C77" s="140" t="str">
        <f aca="false">IF($B77&lt;&gt;1,"",IF('Find Candidates'!$B$11=0,0,SUMPRODUCT(('Find Candidates'!$B$10:$F$10&lt;&gt;"")*ISNUMBER(SEARCH('Find Candidates'!$B$10:$F$10,Candidates!G77)))/'Find Candidates'!$B$11))</f>
        <v/>
      </c>
      <c r="D77" s="140" t="str">
        <f aca="false">IF($B77&lt;&gt;1,"",IF(N('Find Candidates'!$B$7)=0,1,MIN(1,Candidates!H77/'Find Candidates'!$B$7)))</f>
        <v/>
      </c>
      <c r="E77" s="140" t="str">
        <f aca="false">IF($B77&lt;&gt;1,"",IF(Candidates!F77='Find Candidates'!$B$6,1,0))</f>
        <v/>
      </c>
      <c r="F77" s="140" t="str">
        <f aca="false">IF($B77&lt;&gt;1,"",IF(Candidates!J77='Find Candidates'!$B$8,1,0))</f>
        <v/>
      </c>
      <c r="G77" s="140" t="str">
        <f aca="false">IF($B77&lt;&gt;1,"",IF(Candidates!K77&lt;=30,1,IF(Candidates!K77&lt;=60,0.5,0)))</f>
        <v/>
      </c>
      <c r="H77" s="140" t="str">
        <f aca="false">IF($B77&lt;&gt;1,"",IF(Candidates!I77&lt;='Find Candidates'!$B$9,1,0))</f>
        <v/>
      </c>
      <c r="I77" s="140" t="n">
        <f aca="false">IF($B77=1,C77*'Find Candidates'!$B$15+D77*'Find Candidates'!$B$16+E77*'Find Candidates'!$B$17+F77*'Find Candidates'!$B$18+G77*'Find Candidates'!$B$19+H77*'Find Candidates'!$B$20,0)</f>
        <v>0</v>
      </c>
      <c r="J77" s="140" t="str">
        <f aca="false">IF(AND($B77=1,I77&gt;0),I77-ROW()/10^8,"")</f>
        <v/>
      </c>
    </row>
    <row r="78" customFormat="false" ht="15" hidden="false" customHeight="false" outlineLevel="0" collapsed="false">
      <c r="A78" s="140" t="str">
        <f aca="false">IF(Candidates!A78="","",Candidates!A78)</f>
        <v/>
      </c>
      <c r="B78" s="140" t="str">
        <f aca="false">IF(Candidates!A78="","",IF(AND(Candidates!M78&lt;&gt;"Hired",Candidates!N78&lt;&gt;"Do Not Contact",Candidates!Q78="Yes"),1,0))</f>
        <v/>
      </c>
      <c r="C78" s="140" t="str">
        <f aca="false">IF($B78&lt;&gt;1,"",IF('Find Candidates'!$B$11=0,0,SUMPRODUCT(('Find Candidates'!$B$10:$F$10&lt;&gt;"")*ISNUMBER(SEARCH('Find Candidates'!$B$10:$F$10,Candidates!G78)))/'Find Candidates'!$B$11))</f>
        <v/>
      </c>
      <c r="D78" s="140" t="str">
        <f aca="false">IF($B78&lt;&gt;1,"",IF(N('Find Candidates'!$B$7)=0,1,MIN(1,Candidates!H78/'Find Candidates'!$B$7)))</f>
        <v/>
      </c>
      <c r="E78" s="140" t="str">
        <f aca="false">IF($B78&lt;&gt;1,"",IF(Candidates!F78='Find Candidates'!$B$6,1,0))</f>
        <v/>
      </c>
      <c r="F78" s="140" t="str">
        <f aca="false">IF($B78&lt;&gt;1,"",IF(Candidates!J78='Find Candidates'!$B$8,1,0))</f>
        <v/>
      </c>
      <c r="G78" s="140" t="str">
        <f aca="false">IF($B78&lt;&gt;1,"",IF(Candidates!K78&lt;=30,1,IF(Candidates!K78&lt;=60,0.5,0)))</f>
        <v/>
      </c>
      <c r="H78" s="140" t="str">
        <f aca="false">IF($B78&lt;&gt;1,"",IF(Candidates!I78&lt;='Find Candidates'!$B$9,1,0))</f>
        <v/>
      </c>
      <c r="I78" s="140" t="n">
        <f aca="false">IF($B78=1,C78*'Find Candidates'!$B$15+D78*'Find Candidates'!$B$16+E78*'Find Candidates'!$B$17+F78*'Find Candidates'!$B$18+G78*'Find Candidates'!$B$19+H78*'Find Candidates'!$B$20,0)</f>
        <v>0</v>
      </c>
      <c r="J78" s="140" t="str">
        <f aca="false">IF(AND($B78=1,I78&gt;0),I78-ROW()/10^8,"")</f>
        <v/>
      </c>
    </row>
    <row r="79" customFormat="false" ht="15" hidden="false" customHeight="false" outlineLevel="0" collapsed="false">
      <c r="A79" s="140" t="str">
        <f aca="false">IF(Candidates!A79="","",Candidates!A79)</f>
        <v/>
      </c>
      <c r="B79" s="140" t="str">
        <f aca="false">IF(Candidates!A79="","",IF(AND(Candidates!M79&lt;&gt;"Hired",Candidates!N79&lt;&gt;"Do Not Contact",Candidates!Q79="Yes"),1,0))</f>
        <v/>
      </c>
      <c r="C79" s="140" t="str">
        <f aca="false">IF($B79&lt;&gt;1,"",IF('Find Candidates'!$B$11=0,0,SUMPRODUCT(('Find Candidates'!$B$10:$F$10&lt;&gt;"")*ISNUMBER(SEARCH('Find Candidates'!$B$10:$F$10,Candidates!G79)))/'Find Candidates'!$B$11))</f>
        <v/>
      </c>
      <c r="D79" s="140" t="str">
        <f aca="false">IF($B79&lt;&gt;1,"",IF(N('Find Candidates'!$B$7)=0,1,MIN(1,Candidates!H79/'Find Candidates'!$B$7)))</f>
        <v/>
      </c>
      <c r="E79" s="140" t="str">
        <f aca="false">IF($B79&lt;&gt;1,"",IF(Candidates!F79='Find Candidates'!$B$6,1,0))</f>
        <v/>
      </c>
      <c r="F79" s="140" t="str">
        <f aca="false">IF($B79&lt;&gt;1,"",IF(Candidates!J79='Find Candidates'!$B$8,1,0))</f>
        <v/>
      </c>
      <c r="G79" s="140" t="str">
        <f aca="false">IF($B79&lt;&gt;1,"",IF(Candidates!K79&lt;=30,1,IF(Candidates!K79&lt;=60,0.5,0)))</f>
        <v/>
      </c>
      <c r="H79" s="140" t="str">
        <f aca="false">IF($B79&lt;&gt;1,"",IF(Candidates!I79&lt;='Find Candidates'!$B$9,1,0))</f>
        <v/>
      </c>
      <c r="I79" s="140" t="n">
        <f aca="false">IF($B79=1,C79*'Find Candidates'!$B$15+D79*'Find Candidates'!$B$16+E79*'Find Candidates'!$B$17+F79*'Find Candidates'!$B$18+G79*'Find Candidates'!$B$19+H79*'Find Candidates'!$B$20,0)</f>
        <v>0</v>
      </c>
      <c r="J79" s="140" t="str">
        <f aca="false">IF(AND($B79=1,I79&gt;0),I79-ROW()/10^8,"")</f>
        <v/>
      </c>
    </row>
    <row r="80" customFormat="false" ht="15" hidden="false" customHeight="false" outlineLevel="0" collapsed="false">
      <c r="A80" s="140" t="str">
        <f aca="false">IF(Candidates!A80="","",Candidates!A80)</f>
        <v/>
      </c>
      <c r="B80" s="140" t="str">
        <f aca="false">IF(Candidates!A80="","",IF(AND(Candidates!M80&lt;&gt;"Hired",Candidates!N80&lt;&gt;"Do Not Contact",Candidates!Q80="Yes"),1,0))</f>
        <v/>
      </c>
      <c r="C80" s="140" t="str">
        <f aca="false">IF($B80&lt;&gt;1,"",IF('Find Candidates'!$B$11=0,0,SUMPRODUCT(('Find Candidates'!$B$10:$F$10&lt;&gt;"")*ISNUMBER(SEARCH('Find Candidates'!$B$10:$F$10,Candidates!G80)))/'Find Candidates'!$B$11))</f>
        <v/>
      </c>
      <c r="D80" s="140" t="str">
        <f aca="false">IF($B80&lt;&gt;1,"",IF(N('Find Candidates'!$B$7)=0,1,MIN(1,Candidates!H80/'Find Candidates'!$B$7)))</f>
        <v/>
      </c>
      <c r="E80" s="140" t="str">
        <f aca="false">IF($B80&lt;&gt;1,"",IF(Candidates!F80='Find Candidates'!$B$6,1,0))</f>
        <v/>
      </c>
      <c r="F80" s="140" t="str">
        <f aca="false">IF($B80&lt;&gt;1,"",IF(Candidates!J80='Find Candidates'!$B$8,1,0))</f>
        <v/>
      </c>
      <c r="G80" s="140" t="str">
        <f aca="false">IF($B80&lt;&gt;1,"",IF(Candidates!K80&lt;=30,1,IF(Candidates!K80&lt;=60,0.5,0)))</f>
        <v/>
      </c>
      <c r="H80" s="140" t="str">
        <f aca="false">IF($B80&lt;&gt;1,"",IF(Candidates!I80&lt;='Find Candidates'!$B$9,1,0))</f>
        <v/>
      </c>
      <c r="I80" s="140" t="n">
        <f aca="false">IF($B80=1,C80*'Find Candidates'!$B$15+D80*'Find Candidates'!$B$16+E80*'Find Candidates'!$B$17+F80*'Find Candidates'!$B$18+G80*'Find Candidates'!$B$19+H80*'Find Candidates'!$B$20,0)</f>
        <v>0</v>
      </c>
      <c r="J80" s="140" t="str">
        <f aca="false">IF(AND($B80=1,I80&gt;0),I80-ROW()/10^8,"")</f>
        <v/>
      </c>
    </row>
    <row r="81" customFormat="false" ht="15" hidden="false" customHeight="false" outlineLevel="0" collapsed="false">
      <c r="A81" s="140" t="str">
        <f aca="false">IF(Candidates!A81="","",Candidates!A81)</f>
        <v/>
      </c>
      <c r="B81" s="140" t="str">
        <f aca="false">IF(Candidates!A81="","",IF(AND(Candidates!M81&lt;&gt;"Hired",Candidates!N81&lt;&gt;"Do Not Contact",Candidates!Q81="Yes"),1,0))</f>
        <v/>
      </c>
      <c r="C81" s="140" t="str">
        <f aca="false">IF($B81&lt;&gt;1,"",IF('Find Candidates'!$B$11=0,0,SUMPRODUCT(('Find Candidates'!$B$10:$F$10&lt;&gt;"")*ISNUMBER(SEARCH('Find Candidates'!$B$10:$F$10,Candidates!G81)))/'Find Candidates'!$B$11))</f>
        <v/>
      </c>
      <c r="D81" s="140" t="str">
        <f aca="false">IF($B81&lt;&gt;1,"",IF(N('Find Candidates'!$B$7)=0,1,MIN(1,Candidates!H81/'Find Candidates'!$B$7)))</f>
        <v/>
      </c>
      <c r="E81" s="140" t="str">
        <f aca="false">IF($B81&lt;&gt;1,"",IF(Candidates!F81='Find Candidates'!$B$6,1,0))</f>
        <v/>
      </c>
      <c r="F81" s="140" t="str">
        <f aca="false">IF($B81&lt;&gt;1,"",IF(Candidates!J81='Find Candidates'!$B$8,1,0))</f>
        <v/>
      </c>
      <c r="G81" s="140" t="str">
        <f aca="false">IF($B81&lt;&gt;1,"",IF(Candidates!K81&lt;=30,1,IF(Candidates!K81&lt;=60,0.5,0)))</f>
        <v/>
      </c>
      <c r="H81" s="140" t="str">
        <f aca="false">IF($B81&lt;&gt;1,"",IF(Candidates!I81&lt;='Find Candidates'!$B$9,1,0))</f>
        <v/>
      </c>
      <c r="I81" s="140" t="n">
        <f aca="false">IF($B81=1,C81*'Find Candidates'!$B$15+D81*'Find Candidates'!$B$16+E81*'Find Candidates'!$B$17+F81*'Find Candidates'!$B$18+G81*'Find Candidates'!$B$19+H81*'Find Candidates'!$B$20,0)</f>
        <v>0</v>
      </c>
      <c r="J81" s="140" t="str">
        <f aca="false">IF(AND($B81=1,I81&gt;0),I81-ROW()/10^8,"")</f>
        <v/>
      </c>
    </row>
    <row r="82" customFormat="false" ht="15" hidden="false" customHeight="false" outlineLevel="0" collapsed="false">
      <c r="A82" s="140" t="str">
        <f aca="false">IF(Candidates!A82="","",Candidates!A82)</f>
        <v/>
      </c>
      <c r="B82" s="140" t="str">
        <f aca="false">IF(Candidates!A82="","",IF(AND(Candidates!M82&lt;&gt;"Hired",Candidates!N82&lt;&gt;"Do Not Contact",Candidates!Q82="Yes"),1,0))</f>
        <v/>
      </c>
      <c r="C82" s="140" t="str">
        <f aca="false">IF($B82&lt;&gt;1,"",IF('Find Candidates'!$B$11=0,0,SUMPRODUCT(('Find Candidates'!$B$10:$F$10&lt;&gt;"")*ISNUMBER(SEARCH('Find Candidates'!$B$10:$F$10,Candidates!G82)))/'Find Candidates'!$B$11))</f>
        <v/>
      </c>
      <c r="D82" s="140" t="str">
        <f aca="false">IF($B82&lt;&gt;1,"",IF(N('Find Candidates'!$B$7)=0,1,MIN(1,Candidates!H82/'Find Candidates'!$B$7)))</f>
        <v/>
      </c>
      <c r="E82" s="140" t="str">
        <f aca="false">IF($B82&lt;&gt;1,"",IF(Candidates!F82='Find Candidates'!$B$6,1,0))</f>
        <v/>
      </c>
      <c r="F82" s="140" t="str">
        <f aca="false">IF($B82&lt;&gt;1,"",IF(Candidates!J82='Find Candidates'!$B$8,1,0))</f>
        <v/>
      </c>
      <c r="G82" s="140" t="str">
        <f aca="false">IF($B82&lt;&gt;1,"",IF(Candidates!K82&lt;=30,1,IF(Candidates!K82&lt;=60,0.5,0)))</f>
        <v/>
      </c>
      <c r="H82" s="140" t="str">
        <f aca="false">IF($B82&lt;&gt;1,"",IF(Candidates!I82&lt;='Find Candidates'!$B$9,1,0))</f>
        <v/>
      </c>
      <c r="I82" s="140" t="n">
        <f aca="false">IF($B82=1,C82*'Find Candidates'!$B$15+D82*'Find Candidates'!$B$16+E82*'Find Candidates'!$B$17+F82*'Find Candidates'!$B$18+G82*'Find Candidates'!$B$19+H82*'Find Candidates'!$B$20,0)</f>
        <v>0</v>
      </c>
      <c r="J82" s="140" t="str">
        <f aca="false">IF(AND($B82=1,I82&gt;0),I82-ROW()/10^8,"")</f>
        <v/>
      </c>
    </row>
    <row r="83" customFormat="false" ht="15" hidden="false" customHeight="false" outlineLevel="0" collapsed="false">
      <c r="A83" s="140" t="str">
        <f aca="false">IF(Candidates!A83="","",Candidates!A83)</f>
        <v/>
      </c>
      <c r="B83" s="140" t="str">
        <f aca="false">IF(Candidates!A83="","",IF(AND(Candidates!M83&lt;&gt;"Hired",Candidates!N83&lt;&gt;"Do Not Contact",Candidates!Q83="Yes"),1,0))</f>
        <v/>
      </c>
      <c r="C83" s="140" t="str">
        <f aca="false">IF($B83&lt;&gt;1,"",IF('Find Candidates'!$B$11=0,0,SUMPRODUCT(('Find Candidates'!$B$10:$F$10&lt;&gt;"")*ISNUMBER(SEARCH('Find Candidates'!$B$10:$F$10,Candidates!G83)))/'Find Candidates'!$B$11))</f>
        <v/>
      </c>
      <c r="D83" s="140" t="str">
        <f aca="false">IF($B83&lt;&gt;1,"",IF(N('Find Candidates'!$B$7)=0,1,MIN(1,Candidates!H83/'Find Candidates'!$B$7)))</f>
        <v/>
      </c>
      <c r="E83" s="140" t="str">
        <f aca="false">IF($B83&lt;&gt;1,"",IF(Candidates!F83='Find Candidates'!$B$6,1,0))</f>
        <v/>
      </c>
      <c r="F83" s="140" t="str">
        <f aca="false">IF($B83&lt;&gt;1,"",IF(Candidates!J83='Find Candidates'!$B$8,1,0))</f>
        <v/>
      </c>
      <c r="G83" s="140" t="str">
        <f aca="false">IF($B83&lt;&gt;1,"",IF(Candidates!K83&lt;=30,1,IF(Candidates!K83&lt;=60,0.5,0)))</f>
        <v/>
      </c>
      <c r="H83" s="140" t="str">
        <f aca="false">IF($B83&lt;&gt;1,"",IF(Candidates!I83&lt;='Find Candidates'!$B$9,1,0))</f>
        <v/>
      </c>
      <c r="I83" s="140" t="n">
        <f aca="false">IF($B83=1,C83*'Find Candidates'!$B$15+D83*'Find Candidates'!$B$16+E83*'Find Candidates'!$B$17+F83*'Find Candidates'!$B$18+G83*'Find Candidates'!$B$19+H83*'Find Candidates'!$B$20,0)</f>
        <v>0</v>
      </c>
      <c r="J83" s="140" t="str">
        <f aca="false">IF(AND($B83=1,I83&gt;0),I83-ROW()/10^8,"")</f>
        <v/>
      </c>
    </row>
    <row r="84" customFormat="false" ht="15" hidden="false" customHeight="false" outlineLevel="0" collapsed="false">
      <c r="A84" s="140" t="str">
        <f aca="false">IF(Candidates!A84="","",Candidates!A84)</f>
        <v/>
      </c>
      <c r="B84" s="140" t="str">
        <f aca="false">IF(Candidates!A84="","",IF(AND(Candidates!M84&lt;&gt;"Hired",Candidates!N84&lt;&gt;"Do Not Contact",Candidates!Q84="Yes"),1,0))</f>
        <v/>
      </c>
      <c r="C84" s="140" t="str">
        <f aca="false">IF($B84&lt;&gt;1,"",IF('Find Candidates'!$B$11=0,0,SUMPRODUCT(('Find Candidates'!$B$10:$F$10&lt;&gt;"")*ISNUMBER(SEARCH('Find Candidates'!$B$10:$F$10,Candidates!G84)))/'Find Candidates'!$B$11))</f>
        <v/>
      </c>
      <c r="D84" s="140" t="str">
        <f aca="false">IF($B84&lt;&gt;1,"",IF(N('Find Candidates'!$B$7)=0,1,MIN(1,Candidates!H84/'Find Candidates'!$B$7)))</f>
        <v/>
      </c>
      <c r="E84" s="140" t="str">
        <f aca="false">IF($B84&lt;&gt;1,"",IF(Candidates!F84='Find Candidates'!$B$6,1,0))</f>
        <v/>
      </c>
      <c r="F84" s="140" t="str">
        <f aca="false">IF($B84&lt;&gt;1,"",IF(Candidates!J84='Find Candidates'!$B$8,1,0))</f>
        <v/>
      </c>
      <c r="G84" s="140" t="str">
        <f aca="false">IF($B84&lt;&gt;1,"",IF(Candidates!K84&lt;=30,1,IF(Candidates!K84&lt;=60,0.5,0)))</f>
        <v/>
      </c>
      <c r="H84" s="140" t="str">
        <f aca="false">IF($B84&lt;&gt;1,"",IF(Candidates!I84&lt;='Find Candidates'!$B$9,1,0))</f>
        <v/>
      </c>
      <c r="I84" s="140" t="n">
        <f aca="false">IF($B84=1,C84*'Find Candidates'!$B$15+D84*'Find Candidates'!$B$16+E84*'Find Candidates'!$B$17+F84*'Find Candidates'!$B$18+G84*'Find Candidates'!$B$19+H84*'Find Candidates'!$B$20,0)</f>
        <v>0</v>
      </c>
      <c r="J84" s="140" t="str">
        <f aca="false">IF(AND($B84=1,I84&gt;0),I84-ROW()/10^8,"")</f>
        <v/>
      </c>
    </row>
    <row r="85" customFormat="false" ht="15" hidden="false" customHeight="false" outlineLevel="0" collapsed="false">
      <c r="A85" s="140" t="str">
        <f aca="false">IF(Candidates!A85="","",Candidates!A85)</f>
        <v/>
      </c>
      <c r="B85" s="140" t="str">
        <f aca="false">IF(Candidates!A85="","",IF(AND(Candidates!M85&lt;&gt;"Hired",Candidates!N85&lt;&gt;"Do Not Contact",Candidates!Q85="Yes"),1,0))</f>
        <v/>
      </c>
      <c r="C85" s="140" t="str">
        <f aca="false">IF($B85&lt;&gt;1,"",IF('Find Candidates'!$B$11=0,0,SUMPRODUCT(('Find Candidates'!$B$10:$F$10&lt;&gt;"")*ISNUMBER(SEARCH('Find Candidates'!$B$10:$F$10,Candidates!G85)))/'Find Candidates'!$B$11))</f>
        <v/>
      </c>
      <c r="D85" s="140" t="str">
        <f aca="false">IF($B85&lt;&gt;1,"",IF(N('Find Candidates'!$B$7)=0,1,MIN(1,Candidates!H85/'Find Candidates'!$B$7)))</f>
        <v/>
      </c>
      <c r="E85" s="140" t="str">
        <f aca="false">IF($B85&lt;&gt;1,"",IF(Candidates!F85='Find Candidates'!$B$6,1,0))</f>
        <v/>
      </c>
      <c r="F85" s="140" t="str">
        <f aca="false">IF($B85&lt;&gt;1,"",IF(Candidates!J85='Find Candidates'!$B$8,1,0))</f>
        <v/>
      </c>
      <c r="G85" s="140" t="str">
        <f aca="false">IF($B85&lt;&gt;1,"",IF(Candidates!K85&lt;=30,1,IF(Candidates!K85&lt;=60,0.5,0)))</f>
        <v/>
      </c>
      <c r="H85" s="140" t="str">
        <f aca="false">IF($B85&lt;&gt;1,"",IF(Candidates!I85&lt;='Find Candidates'!$B$9,1,0))</f>
        <v/>
      </c>
      <c r="I85" s="140" t="n">
        <f aca="false">IF($B85=1,C85*'Find Candidates'!$B$15+D85*'Find Candidates'!$B$16+E85*'Find Candidates'!$B$17+F85*'Find Candidates'!$B$18+G85*'Find Candidates'!$B$19+H85*'Find Candidates'!$B$20,0)</f>
        <v>0</v>
      </c>
      <c r="J85" s="140" t="str">
        <f aca="false">IF(AND($B85=1,I85&gt;0),I85-ROW()/10^8,"")</f>
        <v/>
      </c>
    </row>
    <row r="86" customFormat="false" ht="15" hidden="false" customHeight="false" outlineLevel="0" collapsed="false">
      <c r="A86" s="140" t="str">
        <f aca="false">IF(Candidates!A86="","",Candidates!A86)</f>
        <v/>
      </c>
      <c r="B86" s="140" t="str">
        <f aca="false">IF(Candidates!A86="","",IF(AND(Candidates!M86&lt;&gt;"Hired",Candidates!N86&lt;&gt;"Do Not Contact",Candidates!Q86="Yes"),1,0))</f>
        <v/>
      </c>
      <c r="C86" s="140" t="str">
        <f aca="false">IF($B86&lt;&gt;1,"",IF('Find Candidates'!$B$11=0,0,SUMPRODUCT(('Find Candidates'!$B$10:$F$10&lt;&gt;"")*ISNUMBER(SEARCH('Find Candidates'!$B$10:$F$10,Candidates!G86)))/'Find Candidates'!$B$11))</f>
        <v/>
      </c>
      <c r="D86" s="140" t="str">
        <f aca="false">IF($B86&lt;&gt;1,"",IF(N('Find Candidates'!$B$7)=0,1,MIN(1,Candidates!H86/'Find Candidates'!$B$7)))</f>
        <v/>
      </c>
      <c r="E86" s="140" t="str">
        <f aca="false">IF($B86&lt;&gt;1,"",IF(Candidates!F86='Find Candidates'!$B$6,1,0))</f>
        <v/>
      </c>
      <c r="F86" s="140" t="str">
        <f aca="false">IF($B86&lt;&gt;1,"",IF(Candidates!J86='Find Candidates'!$B$8,1,0))</f>
        <v/>
      </c>
      <c r="G86" s="140" t="str">
        <f aca="false">IF($B86&lt;&gt;1,"",IF(Candidates!K86&lt;=30,1,IF(Candidates!K86&lt;=60,0.5,0)))</f>
        <v/>
      </c>
      <c r="H86" s="140" t="str">
        <f aca="false">IF($B86&lt;&gt;1,"",IF(Candidates!I86&lt;='Find Candidates'!$B$9,1,0))</f>
        <v/>
      </c>
      <c r="I86" s="140" t="n">
        <f aca="false">IF($B86=1,C86*'Find Candidates'!$B$15+D86*'Find Candidates'!$B$16+E86*'Find Candidates'!$B$17+F86*'Find Candidates'!$B$18+G86*'Find Candidates'!$B$19+H86*'Find Candidates'!$B$20,0)</f>
        <v>0</v>
      </c>
      <c r="J86" s="140" t="str">
        <f aca="false">IF(AND($B86=1,I86&gt;0),I86-ROW()/10^8,"")</f>
        <v/>
      </c>
    </row>
    <row r="87" customFormat="false" ht="15" hidden="false" customHeight="false" outlineLevel="0" collapsed="false">
      <c r="A87" s="140" t="str">
        <f aca="false">IF(Candidates!A87="","",Candidates!A87)</f>
        <v/>
      </c>
      <c r="B87" s="140" t="str">
        <f aca="false">IF(Candidates!A87="","",IF(AND(Candidates!M87&lt;&gt;"Hired",Candidates!N87&lt;&gt;"Do Not Contact",Candidates!Q87="Yes"),1,0))</f>
        <v/>
      </c>
      <c r="C87" s="140" t="str">
        <f aca="false">IF($B87&lt;&gt;1,"",IF('Find Candidates'!$B$11=0,0,SUMPRODUCT(('Find Candidates'!$B$10:$F$10&lt;&gt;"")*ISNUMBER(SEARCH('Find Candidates'!$B$10:$F$10,Candidates!G87)))/'Find Candidates'!$B$11))</f>
        <v/>
      </c>
      <c r="D87" s="140" t="str">
        <f aca="false">IF($B87&lt;&gt;1,"",IF(N('Find Candidates'!$B$7)=0,1,MIN(1,Candidates!H87/'Find Candidates'!$B$7)))</f>
        <v/>
      </c>
      <c r="E87" s="140" t="str">
        <f aca="false">IF($B87&lt;&gt;1,"",IF(Candidates!F87='Find Candidates'!$B$6,1,0))</f>
        <v/>
      </c>
      <c r="F87" s="140" t="str">
        <f aca="false">IF($B87&lt;&gt;1,"",IF(Candidates!J87='Find Candidates'!$B$8,1,0))</f>
        <v/>
      </c>
      <c r="G87" s="140" t="str">
        <f aca="false">IF($B87&lt;&gt;1,"",IF(Candidates!K87&lt;=30,1,IF(Candidates!K87&lt;=60,0.5,0)))</f>
        <v/>
      </c>
      <c r="H87" s="140" t="str">
        <f aca="false">IF($B87&lt;&gt;1,"",IF(Candidates!I87&lt;='Find Candidates'!$B$9,1,0))</f>
        <v/>
      </c>
      <c r="I87" s="140" t="n">
        <f aca="false">IF($B87=1,C87*'Find Candidates'!$B$15+D87*'Find Candidates'!$B$16+E87*'Find Candidates'!$B$17+F87*'Find Candidates'!$B$18+G87*'Find Candidates'!$B$19+H87*'Find Candidates'!$B$20,0)</f>
        <v>0</v>
      </c>
      <c r="J87" s="140" t="str">
        <f aca="false">IF(AND($B87=1,I87&gt;0),I87-ROW()/10^8,"")</f>
        <v/>
      </c>
    </row>
    <row r="88" customFormat="false" ht="15" hidden="false" customHeight="false" outlineLevel="0" collapsed="false">
      <c r="A88" s="140" t="str">
        <f aca="false">IF(Candidates!A88="","",Candidates!A88)</f>
        <v/>
      </c>
      <c r="B88" s="140" t="str">
        <f aca="false">IF(Candidates!A88="","",IF(AND(Candidates!M88&lt;&gt;"Hired",Candidates!N88&lt;&gt;"Do Not Contact",Candidates!Q88="Yes"),1,0))</f>
        <v/>
      </c>
      <c r="C88" s="140" t="str">
        <f aca="false">IF($B88&lt;&gt;1,"",IF('Find Candidates'!$B$11=0,0,SUMPRODUCT(('Find Candidates'!$B$10:$F$10&lt;&gt;"")*ISNUMBER(SEARCH('Find Candidates'!$B$10:$F$10,Candidates!G88)))/'Find Candidates'!$B$11))</f>
        <v/>
      </c>
      <c r="D88" s="140" t="str">
        <f aca="false">IF($B88&lt;&gt;1,"",IF(N('Find Candidates'!$B$7)=0,1,MIN(1,Candidates!H88/'Find Candidates'!$B$7)))</f>
        <v/>
      </c>
      <c r="E88" s="140" t="str">
        <f aca="false">IF($B88&lt;&gt;1,"",IF(Candidates!F88='Find Candidates'!$B$6,1,0))</f>
        <v/>
      </c>
      <c r="F88" s="140" t="str">
        <f aca="false">IF($B88&lt;&gt;1,"",IF(Candidates!J88='Find Candidates'!$B$8,1,0))</f>
        <v/>
      </c>
      <c r="G88" s="140" t="str">
        <f aca="false">IF($B88&lt;&gt;1,"",IF(Candidates!K88&lt;=30,1,IF(Candidates!K88&lt;=60,0.5,0)))</f>
        <v/>
      </c>
      <c r="H88" s="140" t="str">
        <f aca="false">IF($B88&lt;&gt;1,"",IF(Candidates!I88&lt;='Find Candidates'!$B$9,1,0))</f>
        <v/>
      </c>
      <c r="I88" s="140" t="n">
        <f aca="false">IF($B88=1,C88*'Find Candidates'!$B$15+D88*'Find Candidates'!$B$16+E88*'Find Candidates'!$B$17+F88*'Find Candidates'!$B$18+G88*'Find Candidates'!$B$19+H88*'Find Candidates'!$B$20,0)</f>
        <v>0</v>
      </c>
      <c r="J88" s="140" t="str">
        <f aca="false">IF(AND($B88=1,I88&gt;0),I88-ROW()/10^8,"")</f>
        <v/>
      </c>
    </row>
    <row r="89" customFormat="false" ht="15" hidden="false" customHeight="false" outlineLevel="0" collapsed="false">
      <c r="A89" s="140" t="str">
        <f aca="false">IF(Candidates!A89="","",Candidates!A89)</f>
        <v/>
      </c>
      <c r="B89" s="140" t="str">
        <f aca="false">IF(Candidates!A89="","",IF(AND(Candidates!M89&lt;&gt;"Hired",Candidates!N89&lt;&gt;"Do Not Contact",Candidates!Q89="Yes"),1,0))</f>
        <v/>
      </c>
      <c r="C89" s="140" t="str">
        <f aca="false">IF($B89&lt;&gt;1,"",IF('Find Candidates'!$B$11=0,0,SUMPRODUCT(('Find Candidates'!$B$10:$F$10&lt;&gt;"")*ISNUMBER(SEARCH('Find Candidates'!$B$10:$F$10,Candidates!G89)))/'Find Candidates'!$B$11))</f>
        <v/>
      </c>
      <c r="D89" s="140" t="str">
        <f aca="false">IF($B89&lt;&gt;1,"",IF(N('Find Candidates'!$B$7)=0,1,MIN(1,Candidates!H89/'Find Candidates'!$B$7)))</f>
        <v/>
      </c>
      <c r="E89" s="140" t="str">
        <f aca="false">IF($B89&lt;&gt;1,"",IF(Candidates!F89='Find Candidates'!$B$6,1,0))</f>
        <v/>
      </c>
      <c r="F89" s="140" t="str">
        <f aca="false">IF($B89&lt;&gt;1,"",IF(Candidates!J89='Find Candidates'!$B$8,1,0))</f>
        <v/>
      </c>
      <c r="G89" s="140" t="str">
        <f aca="false">IF($B89&lt;&gt;1,"",IF(Candidates!K89&lt;=30,1,IF(Candidates!K89&lt;=60,0.5,0)))</f>
        <v/>
      </c>
      <c r="H89" s="140" t="str">
        <f aca="false">IF($B89&lt;&gt;1,"",IF(Candidates!I89&lt;='Find Candidates'!$B$9,1,0))</f>
        <v/>
      </c>
      <c r="I89" s="140" t="n">
        <f aca="false">IF($B89=1,C89*'Find Candidates'!$B$15+D89*'Find Candidates'!$B$16+E89*'Find Candidates'!$B$17+F89*'Find Candidates'!$B$18+G89*'Find Candidates'!$B$19+H89*'Find Candidates'!$B$20,0)</f>
        <v>0</v>
      </c>
      <c r="J89" s="140" t="str">
        <f aca="false">IF(AND($B89=1,I89&gt;0),I89-ROW()/10^8,"")</f>
        <v/>
      </c>
    </row>
    <row r="90" customFormat="false" ht="15" hidden="false" customHeight="false" outlineLevel="0" collapsed="false">
      <c r="A90" s="140" t="str">
        <f aca="false">IF(Candidates!A90="","",Candidates!A90)</f>
        <v/>
      </c>
      <c r="B90" s="140" t="str">
        <f aca="false">IF(Candidates!A90="","",IF(AND(Candidates!M90&lt;&gt;"Hired",Candidates!N90&lt;&gt;"Do Not Contact",Candidates!Q90="Yes"),1,0))</f>
        <v/>
      </c>
      <c r="C90" s="140" t="str">
        <f aca="false">IF($B90&lt;&gt;1,"",IF('Find Candidates'!$B$11=0,0,SUMPRODUCT(('Find Candidates'!$B$10:$F$10&lt;&gt;"")*ISNUMBER(SEARCH('Find Candidates'!$B$10:$F$10,Candidates!G90)))/'Find Candidates'!$B$11))</f>
        <v/>
      </c>
      <c r="D90" s="140" t="str">
        <f aca="false">IF($B90&lt;&gt;1,"",IF(N('Find Candidates'!$B$7)=0,1,MIN(1,Candidates!H90/'Find Candidates'!$B$7)))</f>
        <v/>
      </c>
      <c r="E90" s="140" t="str">
        <f aca="false">IF($B90&lt;&gt;1,"",IF(Candidates!F90='Find Candidates'!$B$6,1,0))</f>
        <v/>
      </c>
      <c r="F90" s="140" t="str">
        <f aca="false">IF($B90&lt;&gt;1,"",IF(Candidates!J90='Find Candidates'!$B$8,1,0))</f>
        <v/>
      </c>
      <c r="G90" s="140" t="str">
        <f aca="false">IF($B90&lt;&gt;1,"",IF(Candidates!K90&lt;=30,1,IF(Candidates!K90&lt;=60,0.5,0)))</f>
        <v/>
      </c>
      <c r="H90" s="140" t="str">
        <f aca="false">IF($B90&lt;&gt;1,"",IF(Candidates!I90&lt;='Find Candidates'!$B$9,1,0))</f>
        <v/>
      </c>
      <c r="I90" s="140" t="n">
        <f aca="false">IF($B90=1,C90*'Find Candidates'!$B$15+D90*'Find Candidates'!$B$16+E90*'Find Candidates'!$B$17+F90*'Find Candidates'!$B$18+G90*'Find Candidates'!$B$19+H90*'Find Candidates'!$B$20,0)</f>
        <v>0</v>
      </c>
      <c r="J90" s="140" t="str">
        <f aca="false">IF(AND($B90=1,I90&gt;0),I90-ROW()/10^8,"")</f>
        <v/>
      </c>
    </row>
    <row r="91" customFormat="false" ht="15" hidden="false" customHeight="false" outlineLevel="0" collapsed="false">
      <c r="A91" s="140" t="str">
        <f aca="false">IF(Candidates!A91="","",Candidates!A91)</f>
        <v/>
      </c>
      <c r="B91" s="140" t="str">
        <f aca="false">IF(Candidates!A91="","",IF(AND(Candidates!M91&lt;&gt;"Hired",Candidates!N91&lt;&gt;"Do Not Contact",Candidates!Q91="Yes"),1,0))</f>
        <v/>
      </c>
      <c r="C91" s="140" t="str">
        <f aca="false">IF($B91&lt;&gt;1,"",IF('Find Candidates'!$B$11=0,0,SUMPRODUCT(('Find Candidates'!$B$10:$F$10&lt;&gt;"")*ISNUMBER(SEARCH('Find Candidates'!$B$10:$F$10,Candidates!G91)))/'Find Candidates'!$B$11))</f>
        <v/>
      </c>
      <c r="D91" s="140" t="str">
        <f aca="false">IF($B91&lt;&gt;1,"",IF(N('Find Candidates'!$B$7)=0,1,MIN(1,Candidates!H91/'Find Candidates'!$B$7)))</f>
        <v/>
      </c>
      <c r="E91" s="140" t="str">
        <f aca="false">IF($B91&lt;&gt;1,"",IF(Candidates!F91='Find Candidates'!$B$6,1,0))</f>
        <v/>
      </c>
      <c r="F91" s="140" t="str">
        <f aca="false">IF($B91&lt;&gt;1,"",IF(Candidates!J91='Find Candidates'!$B$8,1,0))</f>
        <v/>
      </c>
      <c r="G91" s="140" t="str">
        <f aca="false">IF($B91&lt;&gt;1,"",IF(Candidates!K91&lt;=30,1,IF(Candidates!K91&lt;=60,0.5,0)))</f>
        <v/>
      </c>
      <c r="H91" s="140" t="str">
        <f aca="false">IF($B91&lt;&gt;1,"",IF(Candidates!I91&lt;='Find Candidates'!$B$9,1,0))</f>
        <v/>
      </c>
      <c r="I91" s="140" t="n">
        <f aca="false">IF($B91=1,C91*'Find Candidates'!$B$15+D91*'Find Candidates'!$B$16+E91*'Find Candidates'!$B$17+F91*'Find Candidates'!$B$18+G91*'Find Candidates'!$B$19+H91*'Find Candidates'!$B$20,0)</f>
        <v>0</v>
      </c>
      <c r="J91" s="140" t="str">
        <f aca="false">IF(AND($B91=1,I91&gt;0),I91-ROW()/10^8,"")</f>
        <v/>
      </c>
    </row>
    <row r="92" customFormat="false" ht="15" hidden="false" customHeight="false" outlineLevel="0" collapsed="false">
      <c r="A92" s="140" t="str">
        <f aca="false">IF(Candidates!A92="","",Candidates!A92)</f>
        <v/>
      </c>
      <c r="B92" s="140" t="str">
        <f aca="false">IF(Candidates!A92="","",IF(AND(Candidates!M92&lt;&gt;"Hired",Candidates!N92&lt;&gt;"Do Not Contact",Candidates!Q92="Yes"),1,0))</f>
        <v/>
      </c>
      <c r="C92" s="140" t="str">
        <f aca="false">IF($B92&lt;&gt;1,"",IF('Find Candidates'!$B$11=0,0,SUMPRODUCT(('Find Candidates'!$B$10:$F$10&lt;&gt;"")*ISNUMBER(SEARCH('Find Candidates'!$B$10:$F$10,Candidates!G92)))/'Find Candidates'!$B$11))</f>
        <v/>
      </c>
      <c r="D92" s="140" t="str">
        <f aca="false">IF($B92&lt;&gt;1,"",IF(N('Find Candidates'!$B$7)=0,1,MIN(1,Candidates!H92/'Find Candidates'!$B$7)))</f>
        <v/>
      </c>
      <c r="E92" s="140" t="str">
        <f aca="false">IF($B92&lt;&gt;1,"",IF(Candidates!F92='Find Candidates'!$B$6,1,0))</f>
        <v/>
      </c>
      <c r="F92" s="140" t="str">
        <f aca="false">IF($B92&lt;&gt;1,"",IF(Candidates!J92='Find Candidates'!$B$8,1,0))</f>
        <v/>
      </c>
      <c r="G92" s="140" t="str">
        <f aca="false">IF($B92&lt;&gt;1,"",IF(Candidates!K92&lt;=30,1,IF(Candidates!K92&lt;=60,0.5,0)))</f>
        <v/>
      </c>
      <c r="H92" s="140" t="str">
        <f aca="false">IF($B92&lt;&gt;1,"",IF(Candidates!I92&lt;='Find Candidates'!$B$9,1,0))</f>
        <v/>
      </c>
      <c r="I92" s="140" t="n">
        <f aca="false">IF($B92=1,C92*'Find Candidates'!$B$15+D92*'Find Candidates'!$B$16+E92*'Find Candidates'!$B$17+F92*'Find Candidates'!$B$18+G92*'Find Candidates'!$B$19+H92*'Find Candidates'!$B$20,0)</f>
        <v>0</v>
      </c>
      <c r="J92" s="140" t="str">
        <f aca="false">IF(AND($B92=1,I92&gt;0),I92-ROW()/10^8,"")</f>
        <v/>
      </c>
    </row>
    <row r="93" customFormat="false" ht="15" hidden="false" customHeight="false" outlineLevel="0" collapsed="false">
      <c r="A93" s="140" t="str">
        <f aca="false">IF(Candidates!A93="","",Candidates!A93)</f>
        <v/>
      </c>
      <c r="B93" s="140" t="str">
        <f aca="false">IF(Candidates!A93="","",IF(AND(Candidates!M93&lt;&gt;"Hired",Candidates!N93&lt;&gt;"Do Not Contact",Candidates!Q93="Yes"),1,0))</f>
        <v/>
      </c>
      <c r="C93" s="140" t="str">
        <f aca="false">IF($B93&lt;&gt;1,"",IF('Find Candidates'!$B$11=0,0,SUMPRODUCT(('Find Candidates'!$B$10:$F$10&lt;&gt;"")*ISNUMBER(SEARCH('Find Candidates'!$B$10:$F$10,Candidates!G93)))/'Find Candidates'!$B$11))</f>
        <v/>
      </c>
      <c r="D93" s="140" t="str">
        <f aca="false">IF($B93&lt;&gt;1,"",IF(N('Find Candidates'!$B$7)=0,1,MIN(1,Candidates!H93/'Find Candidates'!$B$7)))</f>
        <v/>
      </c>
      <c r="E93" s="140" t="str">
        <f aca="false">IF($B93&lt;&gt;1,"",IF(Candidates!F93='Find Candidates'!$B$6,1,0))</f>
        <v/>
      </c>
      <c r="F93" s="140" t="str">
        <f aca="false">IF($B93&lt;&gt;1,"",IF(Candidates!J93='Find Candidates'!$B$8,1,0))</f>
        <v/>
      </c>
      <c r="G93" s="140" t="str">
        <f aca="false">IF($B93&lt;&gt;1,"",IF(Candidates!K93&lt;=30,1,IF(Candidates!K93&lt;=60,0.5,0)))</f>
        <v/>
      </c>
      <c r="H93" s="140" t="str">
        <f aca="false">IF($B93&lt;&gt;1,"",IF(Candidates!I93&lt;='Find Candidates'!$B$9,1,0))</f>
        <v/>
      </c>
      <c r="I93" s="140" t="n">
        <f aca="false">IF($B93=1,C93*'Find Candidates'!$B$15+D93*'Find Candidates'!$B$16+E93*'Find Candidates'!$B$17+F93*'Find Candidates'!$B$18+G93*'Find Candidates'!$B$19+H93*'Find Candidates'!$B$20,0)</f>
        <v>0</v>
      </c>
      <c r="J93" s="140" t="str">
        <f aca="false">IF(AND($B93=1,I93&gt;0),I93-ROW()/10^8,"")</f>
        <v/>
      </c>
    </row>
    <row r="94" customFormat="false" ht="15" hidden="false" customHeight="false" outlineLevel="0" collapsed="false">
      <c r="A94" s="140" t="str">
        <f aca="false">IF(Candidates!A94="","",Candidates!A94)</f>
        <v/>
      </c>
      <c r="B94" s="140" t="str">
        <f aca="false">IF(Candidates!A94="","",IF(AND(Candidates!M94&lt;&gt;"Hired",Candidates!N94&lt;&gt;"Do Not Contact",Candidates!Q94="Yes"),1,0))</f>
        <v/>
      </c>
      <c r="C94" s="140" t="str">
        <f aca="false">IF($B94&lt;&gt;1,"",IF('Find Candidates'!$B$11=0,0,SUMPRODUCT(('Find Candidates'!$B$10:$F$10&lt;&gt;"")*ISNUMBER(SEARCH('Find Candidates'!$B$10:$F$10,Candidates!G94)))/'Find Candidates'!$B$11))</f>
        <v/>
      </c>
      <c r="D94" s="140" t="str">
        <f aca="false">IF($B94&lt;&gt;1,"",IF(N('Find Candidates'!$B$7)=0,1,MIN(1,Candidates!H94/'Find Candidates'!$B$7)))</f>
        <v/>
      </c>
      <c r="E94" s="140" t="str">
        <f aca="false">IF($B94&lt;&gt;1,"",IF(Candidates!F94='Find Candidates'!$B$6,1,0))</f>
        <v/>
      </c>
      <c r="F94" s="140" t="str">
        <f aca="false">IF($B94&lt;&gt;1,"",IF(Candidates!J94='Find Candidates'!$B$8,1,0))</f>
        <v/>
      </c>
      <c r="G94" s="140" t="str">
        <f aca="false">IF($B94&lt;&gt;1,"",IF(Candidates!K94&lt;=30,1,IF(Candidates!K94&lt;=60,0.5,0)))</f>
        <v/>
      </c>
      <c r="H94" s="140" t="str">
        <f aca="false">IF($B94&lt;&gt;1,"",IF(Candidates!I94&lt;='Find Candidates'!$B$9,1,0))</f>
        <v/>
      </c>
      <c r="I94" s="140" t="n">
        <f aca="false">IF($B94=1,C94*'Find Candidates'!$B$15+D94*'Find Candidates'!$B$16+E94*'Find Candidates'!$B$17+F94*'Find Candidates'!$B$18+G94*'Find Candidates'!$B$19+H94*'Find Candidates'!$B$20,0)</f>
        <v>0</v>
      </c>
      <c r="J94" s="140" t="str">
        <f aca="false">IF(AND($B94=1,I94&gt;0),I94-ROW()/10^8,"")</f>
        <v/>
      </c>
    </row>
    <row r="95" customFormat="false" ht="15" hidden="false" customHeight="false" outlineLevel="0" collapsed="false">
      <c r="A95" s="140" t="str">
        <f aca="false">IF(Candidates!A95="","",Candidates!A95)</f>
        <v/>
      </c>
      <c r="B95" s="140" t="str">
        <f aca="false">IF(Candidates!A95="","",IF(AND(Candidates!M95&lt;&gt;"Hired",Candidates!N95&lt;&gt;"Do Not Contact",Candidates!Q95="Yes"),1,0))</f>
        <v/>
      </c>
      <c r="C95" s="140" t="str">
        <f aca="false">IF($B95&lt;&gt;1,"",IF('Find Candidates'!$B$11=0,0,SUMPRODUCT(('Find Candidates'!$B$10:$F$10&lt;&gt;"")*ISNUMBER(SEARCH('Find Candidates'!$B$10:$F$10,Candidates!G95)))/'Find Candidates'!$B$11))</f>
        <v/>
      </c>
      <c r="D95" s="140" t="str">
        <f aca="false">IF($B95&lt;&gt;1,"",IF(N('Find Candidates'!$B$7)=0,1,MIN(1,Candidates!H95/'Find Candidates'!$B$7)))</f>
        <v/>
      </c>
      <c r="E95" s="140" t="str">
        <f aca="false">IF($B95&lt;&gt;1,"",IF(Candidates!F95='Find Candidates'!$B$6,1,0))</f>
        <v/>
      </c>
      <c r="F95" s="140" t="str">
        <f aca="false">IF($B95&lt;&gt;1,"",IF(Candidates!J95='Find Candidates'!$B$8,1,0))</f>
        <v/>
      </c>
      <c r="G95" s="140" t="str">
        <f aca="false">IF($B95&lt;&gt;1,"",IF(Candidates!K95&lt;=30,1,IF(Candidates!K95&lt;=60,0.5,0)))</f>
        <v/>
      </c>
      <c r="H95" s="140" t="str">
        <f aca="false">IF($B95&lt;&gt;1,"",IF(Candidates!I95&lt;='Find Candidates'!$B$9,1,0))</f>
        <v/>
      </c>
      <c r="I95" s="140" t="n">
        <f aca="false">IF($B95=1,C95*'Find Candidates'!$B$15+D95*'Find Candidates'!$B$16+E95*'Find Candidates'!$B$17+F95*'Find Candidates'!$B$18+G95*'Find Candidates'!$B$19+H95*'Find Candidates'!$B$20,0)</f>
        <v>0</v>
      </c>
      <c r="J95" s="140" t="str">
        <f aca="false">IF(AND($B95=1,I95&gt;0),I95-ROW()/10^8,"")</f>
        <v/>
      </c>
    </row>
    <row r="96" customFormat="false" ht="15" hidden="false" customHeight="false" outlineLevel="0" collapsed="false">
      <c r="A96" s="140" t="str">
        <f aca="false">IF(Candidates!A96="","",Candidates!A96)</f>
        <v/>
      </c>
      <c r="B96" s="140" t="str">
        <f aca="false">IF(Candidates!A96="","",IF(AND(Candidates!M96&lt;&gt;"Hired",Candidates!N96&lt;&gt;"Do Not Contact",Candidates!Q96="Yes"),1,0))</f>
        <v/>
      </c>
      <c r="C96" s="140" t="str">
        <f aca="false">IF($B96&lt;&gt;1,"",IF('Find Candidates'!$B$11=0,0,SUMPRODUCT(('Find Candidates'!$B$10:$F$10&lt;&gt;"")*ISNUMBER(SEARCH('Find Candidates'!$B$10:$F$10,Candidates!G96)))/'Find Candidates'!$B$11))</f>
        <v/>
      </c>
      <c r="D96" s="140" t="str">
        <f aca="false">IF($B96&lt;&gt;1,"",IF(N('Find Candidates'!$B$7)=0,1,MIN(1,Candidates!H96/'Find Candidates'!$B$7)))</f>
        <v/>
      </c>
      <c r="E96" s="140" t="str">
        <f aca="false">IF($B96&lt;&gt;1,"",IF(Candidates!F96='Find Candidates'!$B$6,1,0))</f>
        <v/>
      </c>
      <c r="F96" s="140" t="str">
        <f aca="false">IF($B96&lt;&gt;1,"",IF(Candidates!J96='Find Candidates'!$B$8,1,0))</f>
        <v/>
      </c>
      <c r="G96" s="140" t="str">
        <f aca="false">IF($B96&lt;&gt;1,"",IF(Candidates!K96&lt;=30,1,IF(Candidates!K96&lt;=60,0.5,0)))</f>
        <v/>
      </c>
      <c r="H96" s="140" t="str">
        <f aca="false">IF($B96&lt;&gt;1,"",IF(Candidates!I96&lt;='Find Candidates'!$B$9,1,0))</f>
        <v/>
      </c>
      <c r="I96" s="140" t="n">
        <f aca="false">IF($B96=1,C96*'Find Candidates'!$B$15+D96*'Find Candidates'!$B$16+E96*'Find Candidates'!$B$17+F96*'Find Candidates'!$B$18+G96*'Find Candidates'!$B$19+H96*'Find Candidates'!$B$20,0)</f>
        <v>0</v>
      </c>
      <c r="J96" s="140" t="str">
        <f aca="false">IF(AND($B96=1,I96&gt;0),I96-ROW()/10^8,"")</f>
        <v/>
      </c>
    </row>
    <row r="97" customFormat="false" ht="15" hidden="false" customHeight="false" outlineLevel="0" collapsed="false">
      <c r="A97" s="140" t="str">
        <f aca="false">IF(Candidates!A97="","",Candidates!A97)</f>
        <v/>
      </c>
      <c r="B97" s="140" t="str">
        <f aca="false">IF(Candidates!A97="","",IF(AND(Candidates!M97&lt;&gt;"Hired",Candidates!N97&lt;&gt;"Do Not Contact",Candidates!Q97="Yes"),1,0))</f>
        <v/>
      </c>
      <c r="C97" s="140" t="str">
        <f aca="false">IF($B97&lt;&gt;1,"",IF('Find Candidates'!$B$11=0,0,SUMPRODUCT(('Find Candidates'!$B$10:$F$10&lt;&gt;"")*ISNUMBER(SEARCH('Find Candidates'!$B$10:$F$10,Candidates!G97)))/'Find Candidates'!$B$11))</f>
        <v/>
      </c>
      <c r="D97" s="140" t="str">
        <f aca="false">IF($B97&lt;&gt;1,"",IF(N('Find Candidates'!$B$7)=0,1,MIN(1,Candidates!H97/'Find Candidates'!$B$7)))</f>
        <v/>
      </c>
      <c r="E97" s="140" t="str">
        <f aca="false">IF($B97&lt;&gt;1,"",IF(Candidates!F97='Find Candidates'!$B$6,1,0))</f>
        <v/>
      </c>
      <c r="F97" s="140" t="str">
        <f aca="false">IF($B97&lt;&gt;1,"",IF(Candidates!J97='Find Candidates'!$B$8,1,0))</f>
        <v/>
      </c>
      <c r="G97" s="140" t="str">
        <f aca="false">IF($B97&lt;&gt;1,"",IF(Candidates!K97&lt;=30,1,IF(Candidates!K97&lt;=60,0.5,0)))</f>
        <v/>
      </c>
      <c r="H97" s="140" t="str">
        <f aca="false">IF($B97&lt;&gt;1,"",IF(Candidates!I97&lt;='Find Candidates'!$B$9,1,0))</f>
        <v/>
      </c>
      <c r="I97" s="140" t="n">
        <f aca="false">IF($B97=1,C97*'Find Candidates'!$B$15+D97*'Find Candidates'!$B$16+E97*'Find Candidates'!$B$17+F97*'Find Candidates'!$B$18+G97*'Find Candidates'!$B$19+H97*'Find Candidates'!$B$20,0)</f>
        <v>0</v>
      </c>
      <c r="J97" s="140" t="str">
        <f aca="false">IF(AND($B97=1,I97&gt;0),I97-ROW()/10^8,"")</f>
        <v/>
      </c>
    </row>
    <row r="98" customFormat="false" ht="15" hidden="false" customHeight="false" outlineLevel="0" collapsed="false">
      <c r="A98" s="140" t="str">
        <f aca="false">IF(Candidates!A98="","",Candidates!A98)</f>
        <v/>
      </c>
      <c r="B98" s="140" t="str">
        <f aca="false">IF(Candidates!A98="","",IF(AND(Candidates!M98&lt;&gt;"Hired",Candidates!N98&lt;&gt;"Do Not Contact",Candidates!Q98="Yes"),1,0))</f>
        <v/>
      </c>
      <c r="C98" s="140" t="str">
        <f aca="false">IF($B98&lt;&gt;1,"",IF('Find Candidates'!$B$11=0,0,SUMPRODUCT(('Find Candidates'!$B$10:$F$10&lt;&gt;"")*ISNUMBER(SEARCH('Find Candidates'!$B$10:$F$10,Candidates!G98)))/'Find Candidates'!$B$11))</f>
        <v/>
      </c>
      <c r="D98" s="140" t="str">
        <f aca="false">IF($B98&lt;&gt;1,"",IF(N('Find Candidates'!$B$7)=0,1,MIN(1,Candidates!H98/'Find Candidates'!$B$7)))</f>
        <v/>
      </c>
      <c r="E98" s="140" t="str">
        <f aca="false">IF($B98&lt;&gt;1,"",IF(Candidates!F98='Find Candidates'!$B$6,1,0))</f>
        <v/>
      </c>
      <c r="F98" s="140" t="str">
        <f aca="false">IF($B98&lt;&gt;1,"",IF(Candidates!J98='Find Candidates'!$B$8,1,0))</f>
        <v/>
      </c>
      <c r="G98" s="140" t="str">
        <f aca="false">IF($B98&lt;&gt;1,"",IF(Candidates!K98&lt;=30,1,IF(Candidates!K98&lt;=60,0.5,0)))</f>
        <v/>
      </c>
      <c r="H98" s="140" t="str">
        <f aca="false">IF($B98&lt;&gt;1,"",IF(Candidates!I98&lt;='Find Candidates'!$B$9,1,0))</f>
        <v/>
      </c>
      <c r="I98" s="140" t="n">
        <f aca="false">IF($B98=1,C98*'Find Candidates'!$B$15+D98*'Find Candidates'!$B$16+E98*'Find Candidates'!$B$17+F98*'Find Candidates'!$B$18+G98*'Find Candidates'!$B$19+H98*'Find Candidates'!$B$20,0)</f>
        <v>0</v>
      </c>
      <c r="J98" s="140" t="str">
        <f aca="false">IF(AND($B98=1,I98&gt;0),I98-ROW()/10^8,"")</f>
        <v/>
      </c>
    </row>
    <row r="99" customFormat="false" ht="15" hidden="false" customHeight="false" outlineLevel="0" collapsed="false">
      <c r="A99" s="140" t="str">
        <f aca="false">IF(Candidates!A99="","",Candidates!A99)</f>
        <v/>
      </c>
      <c r="B99" s="140" t="str">
        <f aca="false">IF(Candidates!A99="","",IF(AND(Candidates!M99&lt;&gt;"Hired",Candidates!N99&lt;&gt;"Do Not Contact",Candidates!Q99="Yes"),1,0))</f>
        <v/>
      </c>
      <c r="C99" s="140" t="str">
        <f aca="false">IF($B99&lt;&gt;1,"",IF('Find Candidates'!$B$11=0,0,SUMPRODUCT(('Find Candidates'!$B$10:$F$10&lt;&gt;"")*ISNUMBER(SEARCH('Find Candidates'!$B$10:$F$10,Candidates!G99)))/'Find Candidates'!$B$11))</f>
        <v/>
      </c>
      <c r="D99" s="140" t="str">
        <f aca="false">IF($B99&lt;&gt;1,"",IF(N('Find Candidates'!$B$7)=0,1,MIN(1,Candidates!H99/'Find Candidates'!$B$7)))</f>
        <v/>
      </c>
      <c r="E99" s="140" t="str">
        <f aca="false">IF($B99&lt;&gt;1,"",IF(Candidates!F99='Find Candidates'!$B$6,1,0))</f>
        <v/>
      </c>
      <c r="F99" s="140" t="str">
        <f aca="false">IF($B99&lt;&gt;1,"",IF(Candidates!J99='Find Candidates'!$B$8,1,0))</f>
        <v/>
      </c>
      <c r="G99" s="140" t="str">
        <f aca="false">IF($B99&lt;&gt;1,"",IF(Candidates!K99&lt;=30,1,IF(Candidates!K99&lt;=60,0.5,0)))</f>
        <v/>
      </c>
      <c r="H99" s="140" t="str">
        <f aca="false">IF($B99&lt;&gt;1,"",IF(Candidates!I99&lt;='Find Candidates'!$B$9,1,0))</f>
        <v/>
      </c>
      <c r="I99" s="140" t="n">
        <f aca="false">IF($B99=1,C99*'Find Candidates'!$B$15+D99*'Find Candidates'!$B$16+E99*'Find Candidates'!$B$17+F99*'Find Candidates'!$B$18+G99*'Find Candidates'!$B$19+H99*'Find Candidates'!$B$20,0)</f>
        <v>0</v>
      </c>
      <c r="J99" s="140" t="str">
        <f aca="false">IF(AND($B99=1,I99&gt;0),I99-ROW()/10^8,"")</f>
        <v/>
      </c>
    </row>
    <row r="100" customFormat="false" ht="15" hidden="false" customHeight="false" outlineLevel="0" collapsed="false">
      <c r="A100" s="140" t="str">
        <f aca="false">IF(Candidates!A100="","",Candidates!A100)</f>
        <v/>
      </c>
      <c r="B100" s="140" t="str">
        <f aca="false">IF(Candidates!A100="","",IF(AND(Candidates!M100&lt;&gt;"Hired",Candidates!N100&lt;&gt;"Do Not Contact",Candidates!Q100="Yes"),1,0))</f>
        <v/>
      </c>
      <c r="C100" s="140" t="str">
        <f aca="false">IF($B100&lt;&gt;1,"",IF('Find Candidates'!$B$11=0,0,SUMPRODUCT(('Find Candidates'!$B$10:$F$10&lt;&gt;"")*ISNUMBER(SEARCH('Find Candidates'!$B$10:$F$10,Candidates!G100)))/'Find Candidates'!$B$11))</f>
        <v/>
      </c>
      <c r="D100" s="140" t="str">
        <f aca="false">IF($B100&lt;&gt;1,"",IF(N('Find Candidates'!$B$7)=0,1,MIN(1,Candidates!H100/'Find Candidates'!$B$7)))</f>
        <v/>
      </c>
      <c r="E100" s="140" t="str">
        <f aca="false">IF($B100&lt;&gt;1,"",IF(Candidates!F100='Find Candidates'!$B$6,1,0))</f>
        <v/>
      </c>
      <c r="F100" s="140" t="str">
        <f aca="false">IF($B100&lt;&gt;1,"",IF(Candidates!J100='Find Candidates'!$B$8,1,0))</f>
        <v/>
      </c>
      <c r="G100" s="140" t="str">
        <f aca="false">IF($B100&lt;&gt;1,"",IF(Candidates!K100&lt;=30,1,IF(Candidates!K100&lt;=60,0.5,0)))</f>
        <v/>
      </c>
      <c r="H100" s="140" t="str">
        <f aca="false">IF($B100&lt;&gt;1,"",IF(Candidates!I100&lt;='Find Candidates'!$B$9,1,0))</f>
        <v/>
      </c>
      <c r="I100" s="140" t="n">
        <f aca="false">IF($B100=1,C100*'Find Candidates'!$B$15+D100*'Find Candidates'!$B$16+E100*'Find Candidates'!$B$17+F100*'Find Candidates'!$B$18+G100*'Find Candidates'!$B$19+H100*'Find Candidates'!$B$20,0)</f>
        <v>0</v>
      </c>
      <c r="J100" s="140" t="str">
        <f aca="false">IF(AND($B100=1,I100&gt;0),I100-ROW()/10^8,"")</f>
        <v/>
      </c>
    </row>
    <row r="101" customFormat="false" ht="15" hidden="false" customHeight="false" outlineLevel="0" collapsed="false">
      <c r="A101" s="140" t="str">
        <f aca="false">IF(Candidates!A101="","",Candidates!A101)</f>
        <v/>
      </c>
      <c r="B101" s="140" t="str">
        <f aca="false">IF(Candidates!A101="","",IF(AND(Candidates!M101&lt;&gt;"Hired",Candidates!N101&lt;&gt;"Do Not Contact",Candidates!Q101="Yes"),1,0))</f>
        <v/>
      </c>
      <c r="C101" s="140" t="str">
        <f aca="false">IF($B101&lt;&gt;1,"",IF('Find Candidates'!$B$11=0,0,SUMPRODUCT(('Find Candidates'!$B$10:$F$10&lt;&gt;"")*ISNUMBER(SEARCH('Find Candidates'!$B$10:$F$10,Candidates!G101)))/'Find Candidates'!$B$11))</f>
        <v/>
      </c>
      <c r="D101" s="140" t="str">
        <f aca="false">IF($B101&lt;&gt;1,"",IF(N('Find Candidates'!$B$7)=0,1,MIN(1,Candidates!H101/'Find Candidates'!$B$7)))</f>
        <v/>
      </c>
      <c r="E101" s="140" t="str">
        <f aca="false">IF($B101&lt;&gt;1,"",IF(Candidates!F101='Find Candidates'!$B$6,1,0))</f>
        <v/>
      </c>
      <c r="F101" s="140" t="str">
        <f aca="false">IF($B101&lt;&gt;1,"",IF(Candidates!J101='Find Candidates'!$B$8,1,0))</f>
        <v/>
      </c>
      <c r="G101" s="140" t="str">
        <f aca="false">IF($B101&lt;&gt;1,"",IF(Candidates!K101&lt;=30,1,IF(Candidates!K101&lt;=60,0.5,0)))</f>
        <v/>
      </c>
      <c r="H101" s="140" t="str">
        <f aca="false">IF($B101&lt;&gt;1,"",IF(Candidates!I101&lt;='Find Candidates'!$B$9,1,0))</f>
        <v/>
      </c>
      <c r="I101" s="140" t="n">
        <f aca="false">IF($B101=1,C101*'Find Candidates'!$B$15+D101*'Find Candidates'!$B$16+E101*'Find Candidates'!$B$17+F101*'Find Candidates'!$B$18+G101*'Find Candidates'!$B$19+H101*'Find Candidates'!$B$20,0)</f>
        <v>0</v>
      </c>
      <c r="J101" s="140" t="str">
        <f aca="false">IF(AND($B101=1,I101&gt;0),I101-ROW()/10^8,"")</f>
        <v/>
      </c>
    </row>
    <row r="102" customFormat="false" ht="15" hidden="false" customHeight="false" outlineLevel="0" collapsed="false">
      <c r="A102" s="140" t="str">
        <f aca="false">IF(Candidates!A102="","",Candidates!A102)</f>
        <v/>
      </c>
      <c r="B102" s="140" t="str">
        <f aca="false">IF(Candidates!A102="","",IF(AND(Candidates!M102&lt;&gt;"Hired",Candidates!N102&lt;&gt;"Do Not Contact",Candidates!Q102="Yes"),1,0))</f>
        <v/>
      </c>
      <c r="C102" s="140" t="str">
        <f aca="false">IF($B102&lt;&gt;1,"",IF('Find Candidates'!$B$11=0,0,SUMPRODUCT(('Find Candidates'!$B$10:$F$10&lt;&gt;"")*ISNUMBER(SEARCH('Find Candidates'!$B$10:$F$10,Candidates!G102)))/'Find Candidates'!$B$11))</f>
        <v/>
      </c>
      <c r="D102" s="140" t="str">
        <f aca="false">IF($B102&lt;&gt;1,"",IF(N('Find Candidates'!$B$7)=0,1,MIN(1,Candidates!H102/'Find Candidates'!$B$7)))</f>
        <v/>
      </c>
      <c r="E102" s="140" t="str">
        <f aca="false">IF($B102&lt;&gt;1,"",IF(Candidates!F102='Find Candidates'!$B$6,1,0))</f>
        <v/>
      </c>
      <c r="F102" s="140" t="str">
        <f aca="false">IF($B102&lt;&gt;1,"",IF(Candidates!J102='Find Candidates'!$B$8,1,0))</f>
        <v/>
      </c>
      <c r="G102" s="140" t="str">
        <f aca="false">IF($B102&lt;&gt;1,"",IF(Candidates!K102&lt;=30,1,IF(Candidates!K102&lt;=60,0.5,0)))</f>
        <v/>
      </c>
      <c r="H102" s="140" t="str">
        <f aca="false">IF($B102&lt;&gt;1,"",IF(Candidates!I102&lt;='Find Candidates'!$B$9,1,0))</f>
        <v/>
      </c>
      <c r="I102" s="140" t="n">
        <f aca="false">IF($B102=1,C102*'Find Candidates'!$B$15+D102*'Find Candidates'!$B$16+E102*'Find Candidates'!$B$17+F102*'Find Candidates'!$B$18+G102*'Find Candidates'!$B$19+H102*'Find Candidates'!$B$20,0)</f>
        <v>0</v>
      </c>
      <c r="J102" s="140" t="str">
        <f aca="false">IF(AND($B102=1,I102&gt;0),I102-ROW()/10^8,"")</f>
        <v/>
      </c>
    </row>
    <row r="103" customFormat="false" ht="15" hidden="false" customHeight="false" outlineLevel="0" collapsed="false">
      <c r="A103" s="140" t="str">
        <f aca="false">IF(Candidates!A103="","",Candidates!A103)</f>
        <v/>
      </c>
      <c r="B103" s="140" t="str">
        <f aca="false">IF(Candidates!A103="","",IF(AND(Candidates!M103&lt;&gt;"Hired",Candidates!N103&lt;&gt;"Do Not Contact",Candidates!Q103="Yes"),1,0))</f>
        <v/>
      </c>
      <c r="C103" s="140" t="str">
        <f aca="false">IF($B103&lt;&gt;1,"",IF('Find Candidates'!$B$11=0,0,SUMPRODUCT(('Find Candidates'!$B$10:$F$10&lt;&gt;"")*ISNUMBER(SEARCH('Find Candidates'!$B$10:$F$10,Candidates!G103)))/'Find Candidates'!$B$11))</f>
        <v/>
      </c>
      <c r="D103" s="140" t="str">
        <f aca="false">IF($B103&lt;&gt;1,"",IF(N('Find Candidates'!$B$7)=0,1,MIN(1,Candidates!H103/'Find Candidates'!$B$7)))</f>
        <v/>
      </c>
      <c r="E103" s="140" t="str">
        <f aca="false">IF($B103&lt;&gt;1,"",IF(Candidates!F103='Find Candidates'!$B$6,1,0))</f>
        <v/>
      </c>
      <c r="F103" s="140" t="str">
        <f aca="false">IF($B103&lt;&gt;1,"",IF(Candidates!J103='Find Candidates'!$B$8,1,0))</f>
        <v/>
      </c>
      <c r="G103" s="140" t="str">
        <f aca="false">IF($B103&lt;&gt;1,"",IF(Candidates!K103&lt;=30,1,IF(Candidates!K103&lt;=60,0.5,0)))</f>
        <v/>
      </c>
      <c r="H103" s="140" t="str">
        <f aca="false">IF($B103&lt;&gt;1,"",IF(Candidates!I103&lt;='Find Candidates'!$B$9,1,0))</f>
        <v/>
      </c>
      <c r="I103" s="140" t="n">
        <f aca="false">IF($B103=1,C103*'Find Candidates'!$B$15+D103*'Find Candidates'!$B$16+E103*'Find Candidates'!$B$17+F103*'Find Candidates'!$B$18+G103*'Find Candidates'!$B$19+H103*'Find Candidates'!$B$20,0)</f>
        <v>0</v>
      </c>
      <c r="J103" s="140" t="str">
        <f aca="false">IF(AND($B103=1,I103&gt;0),I103-ROW()/10^8,"")</f>
        <v/>
      </c>
    </row>
    <row r="104" customFormat="false" ht="15" hidden="false" customHeight="false" outlineLevel="0" collapsed="false">
      <c r="A104" s="140" t="str">
        <f aca="false">IF(Candidates!A104="","",Candidates!A104)</f>
        <v/>
      </c>
      <c r="B104" s="140" t="str">
        <f aca="false">IF(Candidates!A104="","",IF(AND(Candidates!M104&lt;&gt;"Hired",Candidates!N104&lt;&gt;"Do Not Contact",Candidates!Q104="Yes"),1,0))</f>
        <v/>
      </c>
      <c r="C104" s="140" t="str">
        <f aca="false">IF($B104&lt;&gt;1,"",IF('Find Candidates'!$B$11=0,0,SUMPRODUCT(('Find Candidates'!$B$10:$F$10&lt;&gt;"")*ISNUMBER(SEARCH('Find Candidates'!$B$10:$F$10,Candidates!G104)))/'Find Candidates'!$B$11))</f>
        <v/>
      </c>
      <c r="D104" s="140" t="str">
        <f aca="false">IF($B104&lt;&gt;1,"",IF(N('Find Candidates'!$B$7)=0,1,MIN(1,Candidates!H104/'Find Candidates'!$B$7)))</f>
        <v/>
      </c>
      <c r="E104" s="140" t="str">
        <f aca="false">IF($B104&lt;&gt;1,"",IF(Candidates!F104='Find Candidates'!$B$6,1,0))</f>
        <v/>
      </c>
      <c r="F104" s="140" t="str">
        <f aca="false">IF($B104&lt;&gt;1,"",IF(Candidates!J104='Find Candidates'!$B$8,1,0))</f>
        <v/>
      </c>
      <c r="G104" s="140" t="str">
        <f aca="false">IF($B104&lt;&gt;1,"",IF(Candidates!K104&lt;=30,1,IF(Candidates!K104&lt;=60,0.5,0)))</f>
        <v/>
      </c>
      <c r="H104" s="140" t="str">
        <f aca="false">IF($B104&lt;&gt;1,"",IF(Candidates!I104&lt;='Find Candidates'!$B$9,1,0))</f>
        <v/>
      </c>
      <c r="I104" s="140" t="n">
        <f aca="false">IF($B104=1,C104*'Find Candidates'!$B$15+D104*'Find Candidates'!$B$16+E104*'Find Candidates'!$B$17+F104*'Find Candidates'!$B$18+G104*'Find Candidates'!$B$19+H104*'Find Candidates'!$B$20,0)</f>
        <v>0</v>
      </c>
      <c r="J104" s="140" t="str">
        <f aca="false">IF(AND($B104=1,I104&gt;0),I104-ROW()/10^8,"")</f>
        <v/>
      </c>
    </row>
    <row r="105" customFormat="false" ht="15" hidden="false" customHeight="false" outlineLevel="0" collapsed="false">
      <c r="A105" s="140" t="str">
        <f aca="false">IF(Candidates!A105="","",Candidates!A105)</f>
        <v/>
      </c>
      <c r="B105" s="140" t="str">
        <f aca="false">IF(Candidates!A105="","",IF(AND(Candidates!M105&lt;&gt;"Hired",Candidates!N105&lt;&gt;"Do Not Contact",Candidates!Q105="Yes"),1,0))</f>
        <v/>
      </c>
      <c r="C105" s="140" t="str">
        <f aca="false">IF($B105&lt;&gt;1,"",IF('Find Candidates'!$B$11=0,0,SUMPRODUCT(('Find Candidates'!$B$10:$F$10&lt;&gt;"")*ISNUMBER(SEARCH('Find Candidates'!$B$10:$F$10,Candidates!G105)))/'Find Candidates'!$B$11))</f>
        <v/>
      </c>
      <c r="D105" s="140" t="str">
        <f aca="false">IF($B105&lt;&gt;1,"",IF(N('Find Candidates'!$B$7)=0,1,MIN(1,Candidates!H105/'Find Candidates'!$B$7)))</f>
        <v/>
      </c>
      <c r="E105" s="140" t="str">
        <f aca="false">IF($B105&lt;&gt;1,"",IF(Candidates!F105='Find Candidates'!$B$6,1,0))</f>
        <v/>
      </c>
      <c r="F105" s="140" t="str">
        <f aca="false">IF($B105&lt;&gt;1,"",IF(Candidates!J105='Find Candidates'!$B$8,1,0))</f>
        <v/>
      </c>
      <c r="G105" s="140" t="str">
        <f aca="false">IF($B105&lt;&gt;1,"",IF(Candidates!K105&lt;=30,1,IF(Candidates!K105&lt;=60,0.5,0)))</f>
        <v/>
      </c>
      <c r="H105" s="140" t="str">
        <f aca="false">IF($B105&lt;&gt;1,"",IF(Candidates!I105&lt;='Find Candidates'!$B$9,1,0))</f>
        <v/>
      </c>
      <c r="I105" s="140" t="n">
        <f aca="false">IF($B105=1,C105*'Find Candidates'!$B$15+D105*'Find Candidates'!$B$16+E105*'Find Candidates'!$B$17+F105*'Find Candidates'!$B$18+G105*'Find Candidates'!$B$19+H105*'Find Candidates'!$B$20,0)</f>
        <v>0</v>
      </c>
      <c r="J105" s="140" t="str">
        <f aca="false">IF(AND($B105=1,I105&gt;0),I105-ROW()/10^8,"")</f>
        <v/>
      </c>
    </row>
    <row r="106" customFormat="false" ht="15" hidden="false" customHeight="false" outlineLevel="0" collapsed="false">
      <c r="A106" s="140" t="str">
        <f aca="false">IF(Candidates!A106="","",Candidates!A106)</f>
        <v/>
      </c>
      <c r="B106" s="140" t="str">
        <f aca="false">IF(Candidates!A106="","",IF(AND(Candidates!M106&lt;&gt;"Hired",Candidates!N106&lt;&gt;"Do Not Contact",Candidates!Q106="Yes"),1,0))</f>
        <v/>
      </c>
      <c r="C106" s="140" t="str">
        <f aca="false">IF($B106&lt;&gt;1,"",IF('Find Candidates'!$B$11=0,0,SUMPRODUCT(('Find Candidates'!$B$10:$F$10&lt;&gt;"")*ISNUMBER(SEARCH('Find Candidates'!$B$10:$F$10,Candidates!G106)))/'Find Candidates'!$B$11))</f>
        <v/>
      </c>
      <c r="D106" s="140" t="str">
        <f aca="false">IF($B106&lt;&gt;1,"",IF(N('Find Candidates'!$B$7)=0,1,MIN(1,Candidates!H106/'Find Candidates'!$B$7)))</f>
        <v/>
      </c>
      <c r="E106" s="140" t="str">
        <f aca="false">IF($B106&lt;&gt;1,"",IF(Candidates!F106='Find Candidates'!$B$6,1,0))</f>
        <v/>
      </c>
      <c r="F106" s="140" t="str">
        <f aca="false">IF($B106&lt;&gt;1,"",IF(Candidates!J106='Find Candidates'!$B$8,1,0))</f>
        <v/>
      </c>
      <c r="G106" s="140" t="str">
        <f aca="false">IF($B106&lt;&gt;1,"",IF(Candidates!K106&lt;=30,1,IF(Candidates!K106&lt;=60,0.5,0)))</f>
        <v/>
      </c>
      <c r="H106" s="140" t="str">
        <f aca="false">IF($B106&lt;&gt;1,"",IF(Candidates!I106&lt;='Find Candidates'!$B$9,1,0))</f>
        <v/>
      </c>
      <c r="I106" s="140" t="n">
        <f aca="false">IF($B106=1,C106*'Find Candidates'!$B$15+D106*'Find Candidates'!$B$16+E106*'Find Candidates'!$B$17+F106*'Find Candidates'!$B$18+G106*'Find Candidates'!$B$19+H106*'Find Candidates'!$B$20,0)</f>
        <v>0</v>
      </c>
      <c r="J106" s="140" t="str">
        <f aca="false">IF(AND($B106=1,I106&gt;0),I106-ROW()/10^8,"")</f>
        <v/>
      </c>
    </row>
    <row r="107" customFormat="false" ht="15" hidden="false" customHeight="false" outlineLevel="0" collapsed="false">
      <c r="A107" s="140" t="str">
        <f aca="false">IF(Candidates!A107="","",Candidates!A107)</f>
        <v/>
      </c>
      <c r="B107" s="140" t="str">
        <f aca="false">IF(Candidates!A107="","",IF(AND(Candidates!M107&lt;&gt;"Hired",Candidates!N107&lt;&gt;"Do Not Contact",Candidates!Q107="Yes"),1,0))</f>
        <v/>
      </c>
      <c r="C107" s="140" t="str">
        <f aca="false">IF($B107&lt;&gt;1,"",IF('Find Candidates'!$B$11=0,0,SUMPRODUCT(('Find Candidates'!$B$10:$F$10&lt;&gt;"")*ISNUMBER(SEARCH('Find Candidates'!$B$10:$F$10,Candidates!G107)))/'Find Candidates'!$B$11))</f>
        <v/>
      </c>
      <c r="D107" s="140" t="str">
        <f aca="false">IF($B107&lt;&gt;1,"",IF(N('Find Candidates'!$B$7)=0,1,MIN(1,Candidates!H107/'Find Candidates'!$B$7)))</f>
        <v/>
      </c>
      <c r="E107" s="140" t="str">
        <f aca="false">IF($B107&lt;&gt;1,"",IF(Candidates!F107='Find Candidates'!$B$6,1,0))</f>
        <v/>
      </c>
      <c r="F107" s="140" t="str">
        <f aca="false">IF($B107&lt;&gt;1,"",IF(Candidates!J107='Find Candidates'!$B$8,1,0))</f>
        <v/>
      </c>
      <c r="G107" s="140" t="str">
        <f aca="false">IF($B107&lt;&gt;1,"",IF(Candidates!K107&lt;=30,1,IF(Candidates!K107&lt;=60,0.5,0)))</f>
        <v/>
      </c>
      <c r="H107" s="140" t="str">
        <f aca="false">IF($B107&lt;&gt;1,"",IF(Candidates!I107&lt;='Find Candidates'!$B$9,1,0))</f>
        <v/>
      </c>
      <c r="I107" s="140" t="n">
        <f aca="false">IF($B107=1,C107*'Find Candidates'!$B$15+D107*'Find Candidates'!$B$16+E107*'Find Candidates'!$B$17+F107*'Find Candidates'!$B$18+G107*'Find Candidates'!$B$19+H107*'Find Candidates'!$B$20,0)</f>
        <v>0</v>
      </c>
      <c r="J107" s="140" t="str">
        <f aca="false">IF(AND($B107=1,I107&gt;0),I107-ROW()/10^8,"")</f>
        <v/>
      </c>
    </row>
    <row r="108" customFormat="false" ht="15" hidden="false" customHeight="false" outlineLevel="0" collapsed="false">
      <c r="A108" s="140" t="str">
        <f aca="false">IF(Candidates!A108="","",Candidates!A108)</f>
        <v/>
      </c>
      <c r="B108" s="140" t="str">
        <f aca="false">IF(Candidates!A108="","",IF(AND(Candidates!M108&lt;&gt;"Hired",Candidates!N108&lt;&gt;"Do Not Contact",Candidates!Q108="Yes"),1,0))</f>
        <v/>
      </c>
      <c r="C108" s="140" t="str">
        <f aca="false">IF($B108&lt;&gt;1,"",IF('Find Candidates'!$B$11=0,0,SUMPRODUCT(('Find Candidates'!$B$10:$F$10&lt;&gt;"")*ISNUMBER(SEARCH('Find Candidates'!$B$10:$F$10,Candidates!G108)))/'Find Candidates'!$B$11))</f>
        <v/>
      </c>
      <c r="D108" s="140" t="str">
        <f aca="false">IF($B108&lt;&gt;1,"",IF(N('Find Candidates'!$B$7)=0,1,MIN(1,Candidates!H108/'Find Candidates'!$B$7)))</f>
        <v/>
      </c>
      <c r="E108" s="140" t="str">
        <f aca="false">IF($B108&lt;&gt;1,"",IF(Candidates!F108='Find Candidates'!$B$6,1,0))</f>
        <v/>
      </c>
      <c r="F108" s="140" t="str">
        <f aca="false">IF($B108&lt;&gt;1,"",IF(Candidates!J108='Find Candidates'!$B$8,1,0))</f>
        <v/>
      </c>
      <c r="G108" s="140" t="str">
        <f aca="false">IF($B108&lt;&gt;1,"",IF(Candidates!K108&lt;=30,1,IF(Candidates!K108&lt;=60,0.5,0)))</f>
        <v/>
      </c>
      <c r="H108" s="140" t="str">
        <f aca="false">IF($B108&lt;&gt;1,"",IF(Candidates!I108&lt;='Find Candidates'!$B$9,1,0))</f>
        <v/>
      </c>
      <c r="I108" s="140" t="n">
        <f aca="false">IF($B108=1,C108*'Find Candidates'!$B$15+D108*'Find Candidates'!$B$16+E108*'Find Candidates'!$B$17+F108*'Find Candidates'!$B$18+G108*'Find Candidates'!$B$19+H108*'Find Candidates'!$B$20,0)</f>
        <v>0</v>
      </c>
      <c r="J108" s="140" t="str">
        <f aca="false">IF(AND($B108=1,I108&gt;0),I108-ROW()/10^8,"")</f>
        <v/>
      </c>
    </row>
    <row r="109" customFormat="false" ht="15" hidden="false" customHeight="false" outlineLevel="0" collapsed="false">
      <c r="A109" s="140" t="str">
        <f aca="false">IF(Candidates!A109="","",Candidates!A109)</f>
        <v/>
      </c>
      <c r="B109" s="140" t="str">
        <f aca="false">IF(Candidates!A109="","",IF(AND(Candidates!M109&lt;&gt;"Hired",Candidates!N109&lt;&gt;"Do Not Contact",Candidates!Q109="Yes"),1,0))</f>
        <v/>
      </c>
      <c r="C109" s="140" t="str">
        <f aca="false">IF($B109&lt;&gt;1,"",IF('Find Candidates'!$B$11=0,0,SUMPRODUCT(('Find Candidates'!$B$10:$F$10&lt;&gt;"")*ISNUMBER(SEARCH('Find Candidates'!$B$10:$F$10,Candidates!G109)))/'Find Candidates'!$B$11))</f>
        <v/>
      </c>
      <c r="D109" s="140" t="str">
        <f aca="false">IF($B109&lt;&gt;1,"",IF(N('Find Candidates'!$B$7)=0,1,MIN(1,Candidates!H109/'Find Candidates'!$B$7)))</f>
        <v/>
      </c>
      <c r="E109" s="140" t="str">
        <f aca="false">IF($B109&lt;&gt;1,"",IF(Candidates!F109='Find Candidates'!$B$6,1,0))</f>
        <v/>
      </c>
      <c r="F109" s="140" t="str">
        <f aca="false">IF($B109&lt;&gt;1,"",IF(Candidates!J109='Find Candidates'!$B$8,1,0))</f>
        <v/>
      </c>
      <c r="G109" s="140" t="str">
        <f aca="false">IF($B109&lt;&gt;1,"",IF(Candidates!K109&lt;=30,1,IF(Candidates!K109&lt;=60,0.5,0)))</f>
        <v/>
      </c>
      <c r="H109" s="140" t="str">
        <f aca="false">IF($B109&lt;&gt;1,"",IF(Candidates!I109&lt;='Find Candidates'!$B$9,1,0))</f>
        <v/>
      </c>
      <c r="I109" s="140" t="n">
        <f aca="false">IF($B109=1,C109*'Find Candidates'!$B$15+D109*'Find Candidates'!$B$16+E109*'Find Candidates'!$B$17+F109*'Find Candidates'!$B$18+G109*'Find Candidates'!$B$19+H109*'Find Candidates'!$B$20,0)</f>
        <v>0</v>
      </c>
      <c r="J109" s="140" t="str">
        <f aca="false">IF(AND($B109=1,I109&gt;0),I109-ROW()/10^8,"")</f>
        <v/>
      </c>
    </row>
    <row r="110" customFormat="false" ht="15" hidden="false" customHeight="false" outlineLevel="0" collapsed="false">
      <c r="A110" s="140" t="str">
        <f aca="false">IF(Candidates!A110="","",Candidates!A110)</f>
        <v/>
      </c>
      <c r="B110" s="140" t="str">
        <f aca="false">IF(Candidates!A110="","",IF(AND(Candidates!M110&lt;&gt;"Hired",Candidates!N110&lt;&gt;"Do Not Contact",Candidates!Q110="Yes"),1,0))</f>
        <v/>
      </c>
      <c r="C110" s="140" t="str">
        <f aca="false">IF($B110&lt;&gt;1,"",IF('Find Candidates'!$B$11=0,0,SUMPRODUCT(('Find Candidates'!$B$10:$F$10&lt;&gt;"")*ISNUMBER(SEARCH('Find Candidates'!$B$10:$F$10,Candidates!G110)))/'Find Candidates'!$B$11))</f>
        <v/>
      </c>
      <c r="D110" s="140" t="str">
        <f aca="false">IF($B110&lt;&gt;1,"",IF(N('Find Candidates'!$B$7)=0,1,MIN(1,Candidates!H110/'Find Candidates'!$B$7)))</f>
        <v/>
      </c>
      <c r="E110" s="140" t="str">
        <f aca="false">IF($B110&lt;&gt;1,"",IF(Candidates!F110='Find Candidates'!$B$6,1,0))</f>
        <v/>
      </c>
      <c r="F110" s="140" t="str">
        <f aca="false">IF($B110&lt;&gt;1,"",IF(Candidates!J110='Find Candidates'!$B$8,1,0))</f>
        <v/>
      </c>
      <c r="G110" s="140" t="str">
        <f aca="false">IF($B110&lt;&gt;1,"",IF(Candidates!K110&lt;=30,1,IF(Candidates!K110&lt;=60,0.5,0)))</f>
        <v/>
      </c>
      <c r="H110" s="140" t="str">
        <f aca="false">IF($B110&lt;&gt;1,"",IF(Candidates!I110&lt;='Find Candidates'!$B$9,1,0))</f>
        <v/>
      </c>
      <c r="I110" s="140" t="n">
        <f aca="false">IF($B110=1,C110*'Find Candidates'!$B$15+D110*'Find Candidates'!$B$16+E110*'Find Candidates'!$B$17+F110*'Find Candidates'!$B$18+G110*'Find Candidates'!$B$19+H110*'Find Candidates'!$B$20,0)</f>
        <v>0</v>
      </c>
      <c r="J110" s="140" t="str">
        <f aca="false">IF(AND($B110=1,I110&gt;0),I110-ROW()/10^8,"")</f>
        <v/>
      </c>
    </row>
    <row r="111" customFormat="false" ht="15" hidden="false" customHeight="false" outlineLevel="0" collapsed="false">
      <c r="A111" s="140" t="str">
        <f aca="false">IF(Candidates!A111="","",Candidates!A111)</f>
        <v/>
      </c>
      <c r="B111" s="140" t="str">
        <f aca="false">IF(Candidates!A111="","",IF(AND(Candidates!M111&lt;&gt;"Hired",Candidates!N111&lt;&gt;"Do Not Contact",Candidates!Q111="Yes"),1,0))</f>
        <v/>
      </c>
      <c r="C111" s="140" t="str">
        <f aca="false">IF($B111&lt;&gt;1,"",IF('Find Candidates'!$B$11=0,0,SUMPRODUCT(('Find Candidates'!$B$10:$F$10&lt;&gt;"")*ISNUMBER(SEARCH('Find Candidates'!$B$10:$F$10,Candidates!G111)))/'Find Candidates'!$B$11))</f>
        <v/>
      </c>
      <c r="D111" s="140" t="str">
        <f aca="false">IF($B111&lt;&gt;1,"",IF(N('Find Candidates'!$B$7)=0,1,MIN(1,Candidates!H111/'Find Candidates'!$B$7)))</f>
        <v/>
      </c>
      <c r="E111" s="140" t="str">
        <f aca="false">IF($B111&lt;&gt;1,"",IF(Candidates!F111='Find Candidates'!$B$6,1,0))</f>
        <v/>
      </c>
      <c r="F111" s="140" t="str">
        <f aca="false">IF($B111&lt;&gt;1,"",IF(Candidates!J111='Find Candidates'!$B$8,1,0))</f>
        <v/>
      </c>
      <c r="G111" s="140" t="str">
        <f aca="false">IF($B111&lt;&gt;1,"",IF(Candidates!K111&lt;=30,1,IF(Candidates!K111&lt;=60,0.5,0)))</f>
        <v/>
      </c>
      <c r="H111" s="140" t="str">
        <f aca="false">IF($B111&lt;&gt;1,"",IF(Candidates!I111&lt;='Find Candidates'!$B$9,1,0))</f>
        <v/>
      </c>
      <c r="I111" s="140" t="n">
        <f aca="false">IF($B111=1,C111*'Find Candidates'!$B$15+D111*'Find Candidates'!$B$16+E111*'Find Candidates'!$B$17+F111*'Find Candidates'!$B$18+G111*'Find Candidates'!$B$19+H111*'Find Candidates'!$B$20,0)</f>
        <v>0</v>
      </c>
      <c r="J111" s="140" t="str">
        <f aca="false">IF(AND($B111=1,I111&gt;0),I111-ROW()/10^8,"")</f>
        <v/>
      </c>
    </row>
    <row r="112" customFormat="false" ht="15" hidden="false" customHeight="false" outlineLevel="0" collapsed="false">
      <c r="A112" s="140" t="str">
        <f aca="false">IF(Candidates!A112="","",Candidates!A112)</f>
        <v/>
      </c>
      <c r="B112" s="140" t="str">
        <f aca="false">IF(Candidates!A112="","",IF(AND(Candidates!M112&lt;&gt;"Hired",Candidates!N112&lt;&gt;"Do Not Contact",Candidates!Q112="Yes"),1,0))</f>
        <v/>
      </c>
      <c r="C112" s="140" t="str">
        <f aca="false">IF($B112&lt;&gt;1,"",IF('Find Candidates'!$B$11=0,0,SUMPRODUCT(('Find Candidates'!$B$10:$F$10&lt;&gt;"")*ISNUMBER(SEARCH('Find Candidates'!$B$10:$F$10,Candidates!G112)))/'Find Candidates'!$B$11))</f>
        <v/>
      </c>
      <c r="D112" s="140" t="str">
        <f aca="false">IF($B112&lt;&gt;1,"",IF(N('Find Candidates'!$B$7)=0,1,MIN(1,Candidates!H112/'Find Candidates'!$B$7)))</f>
        <v/>
      </c>
      <c r="E112" s="140" t="str">
        <f aca="false">IF($B112&lt;&gt;1,"",IF(Candidates!F112='Find Candidates'!$B$6,1,0))</f>
        <v/>
      </c>
      <c r="F112" s="140" t="str">
        <f aca="false">IF($B112&lt;&gt;1,"",IF(Candidates!J112='Find Candidates'!$B$8,1,0))</f>
        <v/>
      </c>
      <c r="G112" s="140" t="str">
        <f aca="false">IF($B112&lt;&gt;1,"",IF(Candidates!K112&lt;=30,1,IF(Candidates!K112&lt;=60,0.5,0)))</f>
        <v/>
      </c>
      <c r="H112" s="140" t="str">
        <f aca="false">IF($B112&lt;&gt;1,"",IF(Candidates!I112&lt;='Find Candidates'!$B$9,1,0))</f>
        <v/>
      </c>
      <c r="I112" s="140" t="n">
        <f aca="false">IF($B112=1,C112*'Find Candidates'!$B$15+D112*'Find Candidates'!$B$16+E112*'Find Candidates'!$B$17+F112*'Find Candidates'!$B$18+G112*'Find Candidates'!$B$19+H112*'Find Candidates'!$B$20,0)</f>
        <v>0</v>
      </c>
      <c r="J112" s="140" t="str">
        <f aca="false">IF(AND($B112=1,I112&gt;0),I112-ROW()/10^8,"")</f>
        <v/>
      </c>
    </row>
    <row r="113" customFormat="false" ht="15" hidden="false" customHeight="false" outlineLevel="0" collapsed="false">
      <c r="A113" s="140" t="str">
        <f aca="false">IF(Candidates!A113="","",Candidates!A113)</f>
        <v/>
      </c>
      <c r="B113" s="140" t="str">
        <f aca="false">IF(Candidates!A113="","",IF(AND(Candidates!M113&lt;&gt;"Hired",Candidates!N113&lt;&gt;"Do Not Contact",Candidates!Q113="Yes"),1,0))</f>
        <v/>
      </c>
      <c r="C113" s="140" t="str">
        <f aca="false">IF($B113&lt;&gt;1,"",IF('Find Candidates'!$B$11=0,0,SUMPRODUCT(('Find Candidates'!$B$10:$F$10&lt;&gt;"")*ISNUMBER(SEARCH('Find Candidates'!$B$10:$F$10,Candidates!G113)))/'Find Candidates'!$B$11))</f>
        <v/>
      </c>
      <c r="D113" s="140" t="str">
        <f aca="false">IF($B113&lt;&gt;1,"",IF(N('Find Candidates'!$B$7)=0,1,MIN(1,Candidates!H113/'Find Candidates'!$B$7)))</f>
        <v/>
      </c>
      <c r="E113" s="140" t="str">
        <f aca="false">IF($B113&lt;&gt;1,"",IF(Candidates!F113='Find Candidates'!$B$6,1,0))</f>
        <v/>
      </c>
      <c r="F113" s="140" t="str">
        <f aca="false">IF($B113&lt;&gt;1,"",IF(Candidates!J113='Find Candidates'!$B$8,1,0))</f>
        <v/>
      </c>
      <c r="G113" s="140" t="str">
        <f aca="false">IF($B113&lt;&gt;1,"",IF(Candidates!K113&lt;=30,1,IF(Candidates!K113&lt;=60,0.5,0)))</f>
        <v/>
      </c>
      <c r="H113" s="140" t="str">
        <f aca="false">IF($B113&lt;&gt;1,"",IF(Candidates!I113&lt;='Find Candidates'!$B$9,1,0))</f>
        <v/>
      </c>
      <c r="I113" s="140" t="n">
        <f aca="false">IF($B113=1,C113*'Find Candidates'!$B$15+D113*'Find Candidates'!$B$16+E113*'Find Candidates'!$B$17+F113*'Find Candidates'!$B$18+G113*'Find Candidates'!$B$19+H113*'Find Candidates'!$B$20,0)</f>
        <v>0</v>
      </c>
      <c r="J113" s="140" t="str">
        <f aca="false">IF(AND($B113=1,I113&gt;0),I113-ROW()/10^8,"")</f>
        <v/>
      </c>
    </row>
    <row r="114" customFormat="false" ht="15" hidden="false" customHeight="false" outlineLevel="0" collapsed="false">
      <c r="A114" s="140" t="str">
        <f aca="false">IF(Candidates!A114="","",Candidates!A114)</f>
        <v/>
      </c>
      <c r="B114" s="140" t="str">
        <f aca="false">IF(Candidates!A114="","",IF(AND(Candidates!M114&lt;&gt;"Hired",Candidates!N114&lt;&gt;"Do Not Contact",Candidates!Q114="Yes"),1,0))</f>
        <v/>
      </c>
      <c r="C114" s="140" t="str">
        <f aca="false">IF($B114&lt;&gt;1,"",IF('Find Candidates'!$B$11=0,0,SUMPRODUCT(('Find Candidates'!$B$10:$F$10&lt;&gt;"")*ISNUMBER(SEARCH('Find Candidates'!$B$10:$F$10,Candidates!G114)))/'Find Candidates'!$B$11))</f>
        <v/>
      </c>
      <c r="D114" s="140" t="str">
        <f aca="false">IF($B114&lt;&gt;1,"",IF(N('Find Candidates'!$B$7)=0,1,MIN(1,Candidates!H114/'Find Candidates'!$B$7)))</f>
        <v/>
      </c>
      <c r="E114" s="140" t="str">
        <f aca="false">IF($B114&lt;&gt;1,"",IF(Candidates!F114='Find Candidates'!$B$6,1,0))</f>
        <v/>
      </c>
      <c r="F114" s="140" t="str">
        <f aca="false">IF($B114&lt;&gt;1,"",IF(Candidates!J114='Find Candidates'!$B$8,1,0))</f>
        <v/>
      </c>
      <c r="G114" s="140" t="str">
        <f aca="false">IF($B114&lt;&gt;1,"",IF(Candidates!K114&lt;=30,1,IF(Candidates!K114&lt;=60,0.5,0)))</f>
        <v/>
      </c>
      <c r="H114" s="140" t="str">
        <f aca="false">IF($B114&lt;&gt;1,"",IF(Candidates!I114&lt;='Find Candidates'!$B$9,1,0))</f>
        <v/>
      </c>
      <c r="I114" s="140" t="n">
        <f aca="false">IF($B114=1,C114*'Find Candidates'!$B$15+D114*'Find Candidates'!$B$16+E114*'Find Candidates'!$B$17+F114*'Find Candidates'!$B$18+G114*'Find Candidates'!$B$19+H114*'Find Candidates'!$B$20,0)</f>
        <v>0</v>
      </c>
      <c r="J114" s="140" t="str">
        <f aca="false">IF(AND($B114=1,I114&gt;0),I114-ROW()/10^8,"")</f>
        <v/>
      </c>
    </row>
    <row r="115" customFormat="false" ht="15" hidden="false" customHeight="false" outlineLevel="0" collapsed="false">
      <c r="A115" s="140" t="str">
        <f aca="false">IF(Candidates!A115="","",Candidates!A115)</f>
        <v/>
      </c>
      <c r="B115" s="140" t="str">
        <f aca="false">IF(Candidates!A115="","",IF(AND(Candidates!M115&lt;&gt;"Hired",Candidates!N115&lt;&gt;"Do Not Contact",Candidates!Q115="Yes"),1,0))</f>
        <v/>
      </c>
      <c r="C115" s="140" t="str">
        <f aca="false">IF($B115&lt;&gt;1,"",IF('Find Candidates'!$B$11=0,0,SUMPRODUCT(('Find Candidates'!$B$10:$F$10&lt;&gt;"")*ISNUMBER(SEARCH('Find Candidates'!$B$10:$F$10,Candidates!G115)))/'Find Candidates'!$B$11))</f>
        <v/>
      </c>
      <c r="D115" s="140" t="str">
        <f aca="false">IF($B115&lt;&gt;1,"",IF(N('Find Candidates'!$B$7)=0,1,MIN(1,Candidates!H115/'Find Candidates'!$B$7)))</f>
        <v/>
      </c>
      <c r="E115" s="140" t="str">
        <f aca="false">IF($B115&lt;&gt;1,"",IF(Candidates!F115='Find Candidates'!$B$6,1,0))</f>
        <v/>
      </c>
      <c r="F115" s="140" t="str">
        <f aca="false">IF($B115&lt;&gt;1,"",IF(Candidates!J115='Find Candidates'!$B$8,1,0))</f>
        <v/>
      </c>
      <c r="G115" s="140" t="str">
        <f aca="false">IF($B115&lt;&gt;1,"",IF(Candidates!K115&lt;=30,1,IF(Candidates!K115&lt;=60,0.5,0)))</f>
        <v/>
      </c>
      <c r="H115" s="140" t="str">
        <f aca="false">IF($B115&lt;&gt;1,"",IF(Candidates!I115&lt;='Find Candidates'!$B$9,1,0))</f>
        <v/>
      </c>
      <c r="I115" s="140" t="n">
        <f aca="false">IF($B115=1,C115*'Find Candidates'!$B$15+D115*'Find Candidates'!$B$16+E115*'Find Candidates'!$B$17+F115*'Find Candidates'!$B$18+G115*'Find Candidates'!$B$19+H115*'Find Candidates'!$B$20,0)</f>
        <v>0</v>
      </c>
      <c r="J115" s="140" t="str">
        <f aca="false">IF(AND($B115=1,I115&gt;0),I115-ROW()/10^8,"")</f>
        <v/>
      </c>
    </row>
    <row r="116" customFormat="false" ht="15" hidden="false" customHeight="false" outlineLevel="0" collapsed="false">
      <c r="A116" s="140" t="str">
        <f aca="false">IF(Candidates!A116="","",Candidates!A116)</f>
        <v/>
      </c>
      <c r="B116" s="140" t="str">
        <f aca="false">IF(Candidates!A116="","",IF(AND(Candidates!M116&lt;&gt;"Hired",Candidates!N116&lt;&gt;"Do Not Contact",Candidates!Q116="Yes"),1,0))</f>
        <v/>
      </c>
      <c r="C116" s="140" t="str">
        <f aca="false">IF($B116&lt;&gt;1,"",IF('Find Candidates'!$B$11=0,0,SUMPRODUCT(('Find Candidates'!$B$10:$F$10&lt;&gt;"")*ISNUMBER(SEARCH('Find Candidates'!$B$10:$F$10,Candidates!G116)))/'Find Candidates'!$B$11))</f>
        <v/>
      </c>
      <c r="D116" s="140" t="str">
        <f aca="false">IF($B116&lt;&gt;1,"",IF(N('Find Candidates'!$B$7)=0,1,MIN(1,Candidates!H116/'Find Candidates'!$B$7)))</f>
        <v/>
      </c>
      <c r="E116" s="140" t="str">
        <f aca="false">IF($B116&lt;&gt;1,"",IF(Candidates!F116='Find Candidates'!$B$6,1,0))</f>
        <v/>
      </c>
      <c r="F116" s="140" t="str">
        <f aca="false">IF($B116&lt;&gt;1,"",IF(Candidates!J116='Find Candidates'!$B$8,1,0))</f>
        <v/>
      </c>
      <c r="G116" s="140" t="str">
        <f aca="false">IF($B116&lt;&gt;1,"",IF(Candidates!K116&lt;=30,1,IF(Candidates!K116&lt;=60,0.5,0)))</f>
        <v/>
      </c>
      <c r="H116" s="140" t="str">
        <f aca="false">IF($B116&lt;&gt;1,"",IF(Candidates!I116&lt;='Find Candidates'!$B$9,1,0))</f>
        <v/>
      </c>
      <c r="I116" s="140" t="n">
        <f aca="false">IF($B116=1,C116*'Find Candidates'!$B$15+D116*'Find Candidates'!$B$16+E116*'Find Candidates'!$B$17+F116*'Find Candidates'!$B$18+G116*'Find Candidates'!$B$19+H116*'Find Candidates'!$B$20,0)</f>
        <v>0</v>
      </c>
      <c r="J116" s="140" t="str">
        <f aca="false">IF(AND($B116=1,I116&gt;0),I116-ROW()/10^8,"")</f>
        <v/>
      </c>
    </row>
    <row r="117" customFormat="false" ht="15" hidden="false" customHeight="false" outlineLevel="0" collapsed="false">
      <c r="A117" s="140" t="str">
        <f aca="false">IF(Candidates!A117="","",Candidates!A117)</f>
        <v/>
      </c>
      <c r="B117" s="140" t="str">
        <f aca="false">IF(Candidates!A117="","",IF(AND(Candidates!M117&lt;&gt;"Hired",Candidates!N117&lt;&gt;"Do Not Contact",Candidates!Q117="Yes"),1,0))</f>
        <v/>
      </c>
      <c r="C117" s="140" t="str">
        <f aca="false">IF($B117&lt;&gt;1,"",IF('Find Candidates'!$B$11=0,0,SUMPRODUCT(('Find Candidates'!$B$10:$F$10&lt;&gt;"")*ISNUMBER(SEARCH('Find Candidates'!$B$10:$F$10,Candidates!G117)))/'Find Candidates'!$B$11))</f>
        <v/>
      </c>
      <c r="D117" s="140" t="str">
        <f aca="false">IF($B117&lt;&gt;1,"",IF(N('Find Candidates'!$B$7)=0,1,MIN(1,Candidates!H117/'Find Candidates'!$B$7)))</f>
        <v/>
      </c>
      <c r="E117" s="140" t="str">
        <f aca="false">IF($B117&lt;&gt;1,"",IF(Candidates!F117='Find Candidates'!$B$6,1,0))</f>
        <v/>
      </c>
      <c r="F117" s="140" t="str">
        <f aca="false">IF($B117&lt;&gt;1,"",IF(Candidates!J117='Find Candidates'!$B$8,1,0))</f>
        <v/>
      </c>
      <c r="G117" s="140" t="str">
        <f aca="false">IF($B117&lt;&gt;1,"",IF(Candidates!K117&lt;=30,1,IF(Candidates!K117&lt;=60,0.5,0)))</f>
        <v/>
      </c>
      <c r="H117" s="140" t="str">
        <f aca="false">IF($B117&lt;&gt;1,"",IF(Candidates!I117&lt;='Find Candidates'!$B$9,1,0))</f>
        <v/>
      </c>
      <c r="I117" s="140" t="n">
        <f aca="false">IF($B117=1,C117*'Find Candidates'!$B$15+D117*'Find Candidates'!$B$16+E117*'Find Candidates'!$B$17+F117*'Find Candidates'!$B$18+G117*'Find Candidates'!$B$19+H117*'Find Candidates'!$B$20,0)</f>
        <v>0</v>
      </c>
      <c r="J117" s="140" t="str">
        <f aca="false">IF(AND($B117=1,I117&gt;0),I117-ROW()/10^8,"")</f>
        <v/>
      </c>
    </row>
    <row r="118" customFormat="false" ht="15" hidden="false" customHeight="false" outlineLevel="0" collapsed="false">
      <c r="A118" s="140" t="str">
        <f aca="false">IF(Candidates!A118="","",Candidates!A118)</f>
        <v/>
      </c>
      <c r="B118" s="140" t="str">
        <f aca="false">IF(Candidates!A118="","",IF(AND(Candidates!M118&lt;&gt;"Hired",Candidates!N118&lt;&gt;"Do Not Contact",Candidates!Q118="Yes"),1,0))</f>
        <v/>
      </c>
      <c r="C118" s="140" t="str">
        <f aca="false">IF($B118&lt;&gt;1,"",IF('Find Candidates'!$B$11=0,0,SUMPRODUCT(('Find Candidates'!$B$10:$F$10&lt;&gt;"")*ISNUMBER(SEARCH('Find Candidates'!$B$10:$F$10,Candidates!G118)))/'Find Candidates'!$B$11))</f>
        <v/>
      </c>
      <c r="D118" s="140" t="str">
        <f aca="false">IF($B118&lt;&gt;1,"",IF(N('Find Candidates'!$B$7)=0,1,MIN(1,Candidates!H118/'Find Candidates'!$B$7)))</f>
        <v/>
      </c>
      <c r="E118" s="140" t="str">
        <f aca="false">IF($B118&lt;&gt;1,"",IF(Candidates!F118='Find Candidates'!$B$6,1,0))</f>
        <v/>
      </c>
      <c r="F118" s="140" t="str">
        <f aca="false">IF($B118&lt;&gt;1,"",IF(Candidates!J118='Find Candidates'!$B$8,1,0))</f>
        <v/>
      </c>
      <c r="G118" s="140" t="str">
        <f aca="false">IF($B118&lt;&gt;1,"",IF(Candidates!K118&lt;=30,1,IF(Candidates!K118&lt;=60,0.5,0)))</f>
        <v/>
      </c>
      <c r="H118" s="140" t="str">
        <f aca="false">IF($B118&lt;&gt;1,"",IF(Candidates!I118&lt;='Find Candidates'!$B$9,1,0))</f>
        <v/>
      </c>
      <c r="I118" s="140" t="n">
        <f aca="false">IF($B118=1,C118*'Find Candidates'!$B$15+D118*'Find Candidates'!$B$16+E118*'Find Candidates'!$B$17+F118*'Find Candidates'!$B$18+G118*'Find Candidates'!$B$19+H118*'Find Candidates'!$B$20,0)</f>
        <v>0</v>
      </c>
      <c r="J118" s="140" t="str">
        <f aca="false">IF(AND($B118=1,I118&gt;0),I118-ROW()/10^8,"")</f>
        <v/>
      </c>
    </row>
    <row r="119" customFormat="false" ht="15" hidden="false" customHeight="false" outlineLevel="0" collapsed="false">
      <c r="A119" s="140" t="str">
        <f aca="false">IF(Candidates!A119="","",Candidates!A119)</f>
        <v/>
      </c>
      <c r="B119" s="140" t="str">
        <f aca="false">IF(Candidates!A119="","",IF(AND(Candidates!M119&lt;&gt;"Hired",Candidates!N119&lt;&gt;"Do Not Contact",Candidates!Q119="Yes"),1,0))</f>
        <v/>
      </c>
      <c r="C119" s="140" t="str">
        <f aca="false">IF($B119&lt;&gt;1,"",IF('Find Candidates'!$B$11=0,0,SUMPRODUCT(('Find Candidates'!$B$10:$F$10&lt;&gt;"")*ISNUMBER(SEARCH('Find Candidates'!$B$10:$F$10,Candidates!G119)))/'Find Candidates'!$B$11))</f>
        <v/>
      </c>
      <c r="D119" s="140" t="str">
        <f aca="false">IF($B119&lt;&gt;1,"",IF(N('Find Candidates'!$B$7)=0,1,MIN(1,Candidates!H119/'Find Candidates'!$B$7)))</f>
        <v/>
      </c>
      <c r="E119" s="140" t="str">
        <f aca="false">IF($B119&lt;&gt;1,"",IF(Candidates!F119='Find Candidates'!$B$6,1,0))</f>
        <v/>
      </c>
      <c r="F119" s="140" t="str">
        <f aca="false">IF($B119&lt;&gt;1,"",IF(Candidates!J119='Find Candidates'!$B$8,1,0))</f>
        <v/>
      </c>
      <c r="G119" s="140" t="str">
        <f aca="false">IF($B119&lt;&gt;1,"",IF(Candidates!K119&lt;=30,1,IF(Candidates!K119&lt;=60,0.5,0)))</f>
        <v/>
      </c>
      <c r="H119" s="140" t="str">
        <f aca="false">IF($B119&lt;&gt;1,"",IF(Candidates!I119&lt;='Find Candidates'!$B$9,1,0))</f>
        <v/>
      </c>
      <c r="I119" s="140" t="n">
        <f aca="false">IF($B119=1,C119*'Find Candidates'!$B$15+D119*'Find Candidates'!$B$16+E119*'Find Candidates'!$B$17+F119*'Find Candidates'!$B$18+G119*'Find Candidates'!$B$19+H119*'Find Candidates'!$B$20,0)</f>
        <v>0</v>
      </c>
      <c r="J119" s="140" t="str">
        <f aca="false">IF(AND($B119=1,I119&gt;0),I119-ROW()/10^8,"")</f>
        <v/>
      </c>
    </row>
    <row r="120" customFormat="false" ht="15" hidden="false" customHeight="false" outlineLevel="0" collapsed="false">
      <c r="A120" s="140" t="str">
        <f aca="false">IF(Candidates!A120="","",Candidates!A120)</f>
        <v/>
      </c>
      <c r="B120" s="140" t="str">
        <f aca="false">IF(Candidates!A120="","",IF(AND(Candidates!M120&lt;&gt;"Hired",Candidates!N120&lt;&gt;"Do Not Contact",Candidates!Q120="Yes"),1,0))</f>
        <v/>
      </c>
      <c r="C120" s="140" t="str">
        <f aca="false">IF($B120&lt;&gt;1,"",IF('Find Candidates'!$B$11=0,0,SUMPRODUCT(('Find Candidates'!$B$10:$F$10&lt;&gt;"")*ISNUMBER(SEARCH('Find Candidates'!$B$10:$F$10,Candidates!G120)))/'Find Candidates'!$B$11))</f>
        <v/>
      </c>
      <c r="D120" s="140" t="str">
        <f aca="false">IF($B120&lt;&gt;1,"",IF(N('Find Candidates'!$B$7)=0,1,MIN(1,Candidates!H120/'Find Candidates'!$B$7)))</f>
        <v/>
      </c>
      <c r="E120" s="140" t="str">
        <f aca="false">IF($B120&lt;&gt;1,"",IF(Candidates!F120='Find Candidates'!$B$6,1,0))</f>
        <v/>
      </c>
      <c r="F120" s="140" t="str">
        <f aca="false">IF($B120&lt;&gt;1,"",IF(Candidates!J120='Find Candidates'!$B$8,1,0))</f>
        <v/>
      </c>
      <c r="G120" s="140" t="str">
        <f aca="false">IF($B120&lt;&gt;1,"",IF(Candidates!K120&lt;=30,1,IF(Candidates!K120&lt;=60,0.5,0)))</f>
        <v/>
      </c>
      <c r="H120" s="140" t="str">
        <f aca="false">IF($B120&lt;&gt;1,"",IF(Candidates!I120&lt;='Find Candidates'!$B$9,1,0))</f>
        <v/>
      </c>
      <c r="I120" s="140" t="n">
        <f aca="false">IF($B120=1,C120*'Find Candidates'!$B$15+D120*'Find Candidates'!$B$16+E120*'Find Candidates'!$B$17+F120*'Find Candidates'!$B$18+G120*'Find Candidates'!$B$19+H120*'Find Candidates'!$B$20,0)</f>
        <v>0</v>
      </c>
      <c r="J120" s="140" t="str">
        <f aca="false">IF(AND($B120=1,I120&gt;0),I120-ROW()/10^8,"")</f>
        <v/>
      </c>
    </row>
    <row r="121" customFormat="false" ht="15" hidden="false" customHeight="false" outlineLevel="0" collapsed="false">
      <c r="A121" s="140" t="str">
        <f aca="false">IF(Candidates!A121="","",Candidates!A121)</f>
        <v/>
      </c>
      <c r="B121" s="140" t="str">
        <f aca="false">IF(Candidates!A121="","",IF(AND(Candidates!M121&lt;&gt;"Hired",Candidates!N121&lt;&gt;"Do Not Contact",Candidates!Q121="Yes"),1,0))</f>
        <v/>
      </c>
      <c r="C121" s="140" t="str">
        <f aca="false">IF($B121&lt;&gt;1,"",IF('Find Candidates'!$B$11=0,0,SUMPRODUCT(('Find Candidates'!$B$10:$F$10&lt;&gt;"")*ISNUMBER(SEARCH('Find Candidates'!$B$10:$F$10,Candidates!G121)))/'Find Candidates'!$B$11))</f>
        <v/>
      </c>
      <c r="D121" s="140" t="str">
        <f aca="false">IF($B121&lt;&gt;1,"",IF(N('Find Candidates'!$B$7)=0,1,MIN(1,Candidates!H121/'Find Candidates'!$B$7)))</f>
        <v/>
      </c>
      <c r="E121" s="140" t="str">
        <f aca="false">IF($B121&lt;&gt;1,"",IF(Candidates!F121='Find Candidates'!$B$6,1,0))</f>
        <v/>
      </c>
      <c r="F121" s="140" t="str">
        <f aca="false">IF($B121&lt;&gt;1,"",IF(Candidates!J121='Find Candidates'!$B$8,1,0))</f>
        <v/>
      </c>
      <c r="G121" s="140" t="str">
        <f aca="false">IF($B121&lt;&gt;1,"",IF(Candidates!K121&lt;=30,1,IF(Candidates!K121&lt;=60,0.5,0)))</f>
        <v/>
      </c>
      <c r="H121" s="140" t="str">
        <f aca="false">IF($B121&lt;&gt;1,"",IF(Candidates!I121&lt;='Find Candidates'!$B$9,1,0))</f>
        <v/>
      </c>
      <c r="I121" s="140" t="n">
        <f aca="false">IF($B121=1,C121*'Find Candidates'!$B$15+D121*'Find Candidates'!$B$16+E121*'Find Candidates'!$B$17+F121*'Find Candidates'!$B$18+G121*'Find Candidates'!$B$19+H121*'Find Candidates'!$B$20,0)</f>
        <v>0</v>
      </c>
      <c r="J121" s="140" t="str">
        <f aca="false">IF(AND($B121=1,I121&gt;0),I121-ROW()/10^8,"")</f>
        <v/>
      </c>
    </row>
    <row r="122" customFormat="false" ht="15" hidden="false" customHeight="false" outlineLevel="0" collapsed="false">
      <c r="A122" s="140" t="str">
        <f aca="false">IF(Candidates!A122="","",Candidates!A122)</f>
        <v/>
      </c>
      <c r="B122" s="140" t="str">
        <f aca="false">IF(Candidates!A122="","",IF(AND(Candidates!M122&lt;&gt;"Hired",Candidates!N122&lt;&gt;"Do Not Contact",Candidates!Q122="Yes"),1,0))</f>
        <v/>
      </c>
      <c r="C122" s="140" t="str">
        <f aca="false">IF($B122&lt;&gt;1,"",IF('Find Candidates'!$B$11=0,0,SUMPRODUCT(('Find Candidates'!$B$10:$F$10&lt;&gt;"")*ISNUMBER(SEARCH('Find Candidates'!$B$10:$F$10,Candidates!G122)))/'Find Candidates'!$B$11))</f>
        <v/>
      </c>
      <c r="D122" s="140" t="str">
        <f aca="false">IF($B122&lt;&gt;1,"",IF(N('Find Candidates'!$B$7)=0,1,MIN(1,Candidates!H122/'Find Candidates'!$B$7)))</f>
        <v/>
      </c>
      <c r="E122" s="140" t="str">
        <f aca="false">IF($B122&lt;&gt;1,"",IF(Candidates!F122='Find Candidates'!$B$6,1,0))</f>
        <v/>
      </c>
      <c r="F122" s="140" t="str">
        <f aca="false">IF($B122&lt;&gt;1,"",IF(Candidates!J122='Find Candidates'!$B$8,1,0))</f>
        <v/>
      </c>
      <c r="G122" s="140" t="str">
        <f aca="false">IF($B122&lt;&gt;1,"",IF(Candidates!K122&lt;=30,1,IF(Candidates!K122&lt;=60,0.5,0)))</f>
        <v/>
      </c>
      <c r="H122" s="140" t="str">
        <f aca="false">IF($B122&lt;&gt;1,"",IF(Candidates!I122&lt;='Find Candidates'!$B$9,1,0))</f>
        <v/>
      </c>
      <c r="I122" s="140" t="n">
        <f aca="false">IF($B122=1,C122*'Find Candidates'!$B$15+D122*'Find Candidates'!$B$16+E122*'Find Candidates'!$B$17+F122*'Find Candidates'!$B$18+G122*'Find Candidates'!$B$19+H122*'Find Candidates'!$B$20,0)</f>
        <v>0</v>
      </c>
      <c r="J122" s="140" t="str">
        <f aca="false">IF(AND($B122=1,I122&gt;0),I122-ROW()/10^8,"")</f>
        <v/>
      </c>
    </row>
    <row r="123" customFormat="false" ht="15" hidden="false" customHeight="false" outlineLevel="0" collapsed="false">
      <c r="A123" s="140" t="str">
        <f aca="false">IF(Candidates!A123="","",Candidates!A123)</f>
        <v/>
      </c>
      <c r="B123" s="140" t="str">
        <f aca="false">IF(Candidates!A123="","",IF(AND(Candidates!M123&lt;&gt;"Hired",Candidates!N123&lt;&gt;"Do Not Contact",Candidates!Q123="Yes"),1,0))</f>
        <v/>
      </c>
      <c r="C123" s="140" t="str">
        <f aca="false">IF($B123&lt;&gt;1,"",IF('Find Candidates'!$B$11=0,0,SUMPRODUCT(('Find Candidates'!$B$10:$F$10&lt;&gt;"")*ISNUMBER(SEARCH('Find Candidates'!$B$10:$F$10,Candidates!G123)))/'Find Candidates'!$B$11))</f>
        <v/>
      </c>
      <c r="D123" s="140" t="str">
        <f aca="false">IF($B123&lt;&gt;1,"",IF(N('Find Candidates'!$B$7)=0,1,MIN(1,Candidates!H123/'Find Candidates'!$B$7)))</f>
        <v/>
      </c>
      <c r="E123" s="140" t="str">
        <f aca="false">IF($B123&lt;&gt;1,"",IF(Candidates!F123='Find Candidates'!$B$6,1,0))</f>
        <v/>
      </c>
      <c r="F123" s="140" t="str">
        <f aca="false">IF($B123&lt;&gt;1,"",IF(Candidates!J123='Find Candidates'!$B$8,1,0))</f>
        <v/>
      </c>
      <c r="G123" s="140" t="str">
        <f aca="false">IF($B123&lt;&gt;1,"",IF(Candidates!K123&lt;=30,1,IF(Candidates!K123&lt;=60,0.5,0)))</f>
        <v/>
      </c>
      <c r="H123" s="140" t="str">
        <f aca="false">IF($B123&lt;&gt;1,"",IF(Candidates!I123&lt;='Find Candidates'!$B$9,1,0))</f>
        <v/>
      </c>
      <c r="I123" s="140" t="n">
        <f aca="false">IF($B123=1,C123*'Find Candidates'!$B$15+D123*'Find Candidates'!$B$16+E123*'Find Candidates'!$B$17+F123*'Find Candidates'!$B$18+G123*'Find Candidates'!$B$19+H123*'Find Candidates'!$B$20,0)</f>
        <v>0</v>
      </c>
      <c r="J123" s="140" t="str">
        <f aca="false">IF(AND($B123=1,I123&gt;0),I123-ROW()/10^8,"")</f>
        <v/>
      </c>
    </row>
    <row r="124" customFormat="false" ht="15" hidden="false" customHeight="false" outlineLevel="0" collapsed="false">
      <c r="A124" s="140" t="str">
        <f aca="false">IF(Candidates!A124="","",Candidates!A124)</f>
        <v/>
      </c>
      <c r="B124" s="140" t="str">
        <f aca="false">IF(Candidates!A124="","",IF(AND(Candidates!M124&lt;&gt;"Hired",Candidates!N124&lt;&gt;"Do Not Contact",Candidates!Q124="Yes"),1,0))</f>
        <v/>
      </c>
      <c r="C124" s="140" t="str">
        <f aca="false">IF($B124&lt;&gt;1,"",IF('Find Candidates'!$B$11=0,0,SUMPRODUCT(('Find Candidates'!$B$10:$F$10&lt;&gt;"")*ISNUMBER(SEARCH('Find Candidates'!$B$10:$F$10,Candidates!G124)))/'Find Candidates'!$B$11))</f>
        <v/>
      </c>
      <c r="D124" s="140" t="str">
        <f aca="false">IF($B124&lt;&gt;1,"",IF(N('Find Candidates'!$B$7)=0,1,MIN(1,Candidates!H124/'Find Candidates'!$B$7)))</f>
        <v/>
      </c>
      <c r="E124" s="140" t="str">
        <f aca="false">IF($B124&lt;&gt;1,"",IF(Candidates!F124='Find Candidates'!$B$6,1,0))</f>
        <v/>
      </c>
      <c r="F124" s="140" t="str">
        <f aca="false">IF($B124&lt;&gt;1,"",IF(Candidates!J124='Find Candidates'!$B$8,1,0))</f>
        <v/>
      </c>
      <c r="G124" s="140" t="str">
        <f aca="false">IF($B124&lt;&gt;1,"",IF(Candidates!K124&lt;=30,1,IF(Candidates!K124&lt;=60,0.5,0)))</f>
        <v/>
      </c>
      <c r="H124" s="140" t="str">
        <f aca="false">IF($B124&lt;&gt;1,"",IF(Candidates!I124&lt;='Find Candidates'!$B$9,1,0))</f>
        <v/>
      </c>
      <c r="I124" s="140" t="n">
        <f aca="false">IF($B124=1,C124*'Find Candidates'!$B$15+D124*'Find Candidates'!$B$16+E124*'Find Candidates'!$B$17+F124*'Find Candidates'!$B$18+G124*'Find Candidates'!$B$19+H124*'Find Candidates'!$B$20,0)</f>
        <v>0</v>
      </c>
      <c r="J124" s="140" t="str">
        <f aca="false">IF(AND($B124=1,I124&gt;0),I124-ROW()/10^8,"")</f>
        <v/>
      </c>
    </row>
    <row r="125" customFormat="false" ht="15" hidden="false" customHeight="false" outlineLevel="0" collapsed="false">
      <c r="A125" s="140" t="str">
        <f aca="false">IF(Candidates!A125="","",Candidates!A125)</f>
        <v/>
      </c>
      <c r="B125" s="140" t="str">
        <f aca="false">IF(Candidates!A125="","",IF(AND(Candidates!M125&lt;&gt;"Hired",Candidates!N125&lt;&gt;"Do Not Contact",Candidates!Q125="Yes"),1,0))</f>
        <v/>
      </c>
      <c r="C125" s="140" t="str">
        <f aca="false">IF($B125&lt;&gt;1,"",IF('Find Candidates'!$B$11=0,0,SUMPRODUCT(('Find Candidates'!$B$10:$F$10&lt;&gt;"")*ISNUMBER(SEARCH('Find Candidates'!$B$10:$F$10,Candidates!G125)))/'Find Candidates'!$B$11))</f>
        <v/>
      </c>
      <c r="D125" s="140" t="str">
        <f aca="false">IF($B125&lt;&gt;1,"",IF(N('Find Candidates'!$B$7)=0,1,MIN(1,Candidates!H125/'Find Candidates'!$B$7)))</f>
        <v/>
      </c>
      <c r="E125" s="140" t="str">
        <f aca="false">IF($B125&lt;&gt;1,"",IF(Candidates!F125='Find Candidates'!$B$6,1,0))</f>
        <v/>
      </c>
      <c r="F125" s="140" t="str">
        <f aca="false">IF($B125&lt;&gt;1,"",IF(Candidates!J125='Find Candidates'!$B$8,1,0))</f>
        <v/>
      </c>
      <c r="G125" s="140" t="str">
        <f aca="false">IF($B125&lt;&gt;1,"",IF(Candidates!K125&lt;=30,1,IF(Candidates!K125&lt;=60,0.5,0)))</f>
        <v/>
      </c>
      <c r="H125" s="140" t="str">
        <f aca="false">IF($B125&lt;&gt;1,"",IF(Candidates!I125&lt;='Find Candidates'!$B$9,1,0))</f>
        <v/>
      </c>
      <c r="I125" s="140" t="n">
        <f aca="false">IF($B125=1,C125*'Find Candidates'!$B$15+D125*'Find Candidates'!$B$16+E125*'Find Candidates'!$B$17+F125*'Find Candidates'!$B$18+G125*'Find Candidates'!$B$19+H125*'Find Candidates'!$B$20,0)</f>
        <v>0</v>
      </c>
      <c r="J125" s="140" t="str">
        <f aca="false">IF(AND($B125=1,I125&gt;0),I125-ROW()/10^8,"")</f>
        <v/>
      </c>
    </row>
    <row r="126" customFormat="false" ht="15" hidden="false" customHeight="false" outlineLevel="0" collapsed="false">
      <c r="A126" s="140" t="str">
        <f aca="false">IF(Candidates!A126="","",Candidates!A126)</f>
        <v/>
      </c>
      <c r="B126" s="140" t="str">
        <f aca="false">IF(Candidates!A126="","",IF(AND(Candidates!M126&lt;&gt;"Hired",Candidates!N126&lt;&gt;"Do Not Contact",Candidates!Q126="Yes"),1,0))</f>
        <v/>
      </c>
      <c r="C126" s="140" t="str">
        <f aca="false">IF($B126&lt;&gt;1,"",IF('Find Candidates'!$B$11=0,0,SUMPRODUCT(('Find Candidates'!$B$10:$F$10&lt;&gt;"")*ISNUMBER(SEARCH('Find Candidates'!$B$10:$F$10,Candidates!G126)))/'Find Candidates'!$B$11))</f>
        <v/>
      </c>
      <c r="D126" s="140" t="str">
        <f aca="false">IF($B126&lt;&gt;1,"",IF(N('Find Candidates'!$B$7)=0,1,MIN(1,Candidates!H126/'Find Candidates'!$B$7)))</f>
        <v/>
      </c>
      <c r="E126" s="140" t="str">
        <f aca="false">IF($B126&lt;&gt;1,"",IF(Candidates!F126='Find Candidates'!$B$6,1,0))</f>
        <v/>
      </c>
      <c r="F126" s="140" t="str">
        <f aca="false">IF($B126&lt;&gt;1,"",IF(Candidates!J126='Find Candidates'!$B$8,1,0))</f>
        <v/>
      </c>
      <c r="G126" s="140" t="str">
        <f aca="false">IF($B126&lt;&gt;1,"",IF(Candidates!K126&lt;=30,1,IF(Candidates!K126&lt;=60,0.5,0)))</f>
        <v/>
      </c>
      <c r="H126" s="140" t="str">
        <f aca="false">IF($B126&lt;&gt;1,"",IF(Candidates!I126&lt;='Find Candidates'!$B$9,1,0))</f>
        <v/>
      </c>
      <c r="I126" s="140" t="n">
        <f aca="false">IF($B126=1,C126*'Find Candidates'!$B$15+D126*'Find Candidates'!$B$16+E126*'Find Candidates'!$B$17+F126*'Find Candidates'!$B$18+G126*'Find Candidates'!$B$19+H126*'Find Candidates'!$B$20,0)</f>
        <v>0</v>
      </c>
      <c r="J126" s="140" t="str">
        <f aca="false">IF(AND($B126=1,I126&gt;0),I126-ROW()/10^8,"")</f>
        <v/>
      </c>
    </row>
    <row r="127" customFormat="false" ht="15" hidden="false" customHeight="false" outlineLevel="0" collapsed="false">
      <c r="A127" s="140" t="str">
        <f aca="false">IF(Candidates!A127="","",Candidates!A127)</f>
        <v/>
      </c>
      <c r="B127" s="140" t="str">
        <f aca="false">IF(Candidates!A127="","",IF(AND(Candidates!M127&lt;&gt;"Hired",Candidates!N127&lt;&gt;"Do Not Contact",Candidates!Q127="Yes"),1,0))</f>
        <v/>
      </c>
      <c r="C127" s="140" t="str">
        <f aca="false">IF($B127&lt;&gt;1,"",IF('Find Candidates'!$B$11=0,0,SUMPRODUCT(('Find Candidates'!$B$10:$F$10&lt;&gt;"")*ISNUMBER(SEARCH('Find Candidates'!$B$10:$F$10,Candidates!G127)))/'Find Candidates'!$B$11))</f>
        <v/>
      </c>
      <c r="D127" s="140" t="str">
        <f aca="false">IF($B127&lt;&gt;1,"",IF(N('Find Candidates'!$B$7)=0,1,MIN(1,Candidates!H127/'Find Candidates'!$B$7)))</f>
        <v/>
      </c>
      <c r="E127" s="140" t="str">
        <f aca="false">IF($B127&lt;&gt;1,"",IF(Candidates!F127='Find Candidates'!$B$6,1,0))</f>
        <v/>
      </c>
      <c r="F127" s="140" t="str">
        <f aca="false">IF($B127&lt;&gt;1,"",IF(Candidates!J127='Find Candidates'!$B$8,1,0))</f>
        <v/>
      </c>
      <c r="G127" s="140" t="str">
        <f aca="false">IF($B127&lt;&gt;1,"",IF(Candidates!K127&lt;=30,1,IF(Candidates!K127&lt;=60,0.5,0)))</f>
        <v/>
      </c>
      <c r="H127" s="140" t="str">
        <f aca="false">IF($B127&lt;&gt;1,"",IF(Candidates!I127&lt;='Find Candidates'!$B$9,1,0))</f>
        <v/>
      </c>
      <c r="I127" s="140" t="n">
        <f aca="false">IF($B127=1,C127*'Find Candidates'!$B$15+D127*'Find Candidates'!$B$16+E127*'Find Candidates'!$B$17+F127*'Find Candidates'!$B$18+G127*'Find Candidates'!$B$19+H127*'Find Candidates'!$B$20,0)</f>
        <v>0</v>
      </c>
      <c r="J127" s="140" t="str">
        <f aca="false">IF(AND($B127=1,I127&gt;0),I127-ROW()/10^8,"")</f>
        <v/>
      </c>
    </row>
    <row r="128" customFormat="false" ht="15" hidden="false" customHeight="false" outlineLevel="0" collapsed="false">
      <c r="A128" s="140" t="str">
        <f aca="false">IF(Candidates!A128="","",Candidates!A128)</f>
        <v/>
      </c>
      <c r="B128" s="140" t="str">
        <f aca="false">IF(Candidates!A128="","",IF(AND(Candidates!M128&lt;&gt;"Hired",Candidates!N128&lt;&gt;"Do Not Contact",Candidates!Q128="Yes"),1,0))</f>
        <v/>
      </c>
      <c r="C128" s="140" t="str">
        <f aca="false">IF($B128&lt;&gt;1,"",IF('Find Candidates'!$B$11=0,0,SUMPRODUCT(('Find Candidates'!$B$10:$F$10&lt;&gt;"")*ISNUMBER(SEARCH('Find Candidates'!$B$10:$F$10,Candidates!G128)))/'Find Candidates'!$B$11))</f>
        <v/>
      </c>
      <c r="D128" s="140" t="str">
        <f aca="false">IF($B128&lt;&gt;1,"",IF(N('Find Candidates'!$B$7)=0,1,MIN(1,Candidates!H128/'Find Candidates'!$B$7)))</f>
        <v/>
      </c>
      <c r="E128" s="140" t="str">
        <f aca="false">IF($B128&lt;&gt;1,"",IF(Candidates!F128='Find Candidates'!$B$6,1,0))</f>
        <v/>
      </c>
      <c r="F128" s="140" t="str">
        <f aca="false">IF($B128&lt;&gt;1,"",IF(Candidates!J128='Find Candidates'!$B$8,1,0))</f>
        <v/>
      </c>
      <c r="G128" s="140" t="str">
        <f aca="false">IF($B128&lt;&gt;1,"",IF(Candidates!K128&lt;=30,1,IF(Candidates!K128&lt;=60,0.5,0)))</f>
        <v/>
      </c>
      <c r="H128" s="140" t="str">
        <f aca="false">IF($B128&lt;&gt;1,"",IF(Candidates!I128&lt;='Find Candidates'!$B$9,1,0))</f>
        <v/>
      </c>
      <c r="I128" s="140" t="n">
        <f aca="false">IF($B128=1,C128*'Find Candidates'!$B$15+D128*'Find Candidates'!$B$16+E128*'Find Candidates'!$B$17+F128*'Find Candidates'!$B$18+G128*'Find Candidates'!$B$19+H128*'Find Candidates'!$B$20,0)</f>
        <v>0</v>
      </c>
      <c r="J128" s="140" t="str">
        <f aca="false">IF(AND($B128=1,I128&gt;0),I128-ROW()/10^8,"")</f>
        <v/>
      </c>
    </row>
    <row r="129" customFormat="false" ht="15" hidden="false" customHeight="false" outlineLevel="0" collapsed="false">
      <c r="A129" s="140" t="str">
        <f aca="false">IF(Candidates!A129="","",Candidates!A129)</f>
        <v/>
      </c>
      <c r="B129" s="140" t="str">
        <f aca="false">IF(Candidates!A129="","",IF(AND(Candidates!M129&lt;&gt;"Hired",Candidates!N129&lt;&gt;"Do Not Contact",Candidates!Q129="Yes"),1,0))</f>
        <v/>
      </c>
      <c r="C129" s="140" t="str">
        <f aca="false">IF($B129&lt;&gt;1,"",IF('Find Candidates'!$B$11=0,0,SUMPRODUCT(('Find Candidates'!$B$10:$F$10&lt;&gt;"")*ISNUMBER(SEARCH('Find Candidates'!$B$10:$F$10,Candidates!G129)))/'Find Candidates'!$B$11))</f>
        <v/>
      </c>
      <c r="D129" s="140" t="str">
        <f aca="false">IF($B129&lt;&gt;1,"",IF(N('Find Candidates'!$B$7)=0,1,MIN(1,Candidates!H129/'Find Candidates'!$B$7)))</f>
        <v/>
      </c>
      <c r="E129" s="140" t="str">
        <f aca="false">IF($B129&lt;&gt;1,"",IF(Candidates!F129='Find Candidates'!$B$6,1,0))</f>
        <v/>
      </c>
      <c r="F129" s="140" t="str">
        <f aca="false">IF($B129&lt;&gt;1,"",IF(Candidates!J129='Find Candidates'!$B$8,1,0))</f>
        <v/>
      </c>
      <c r="G129" s="140" t="str">
        <f aca="false">IF($B129&lt;&gt;1,"",IF(Candidates!K129&lt;=30,1,IF(Candidates!K129&lt;=60,0.5,0)))</f>
        <v/>
      </c>
      <c r="H129" s="140" t="str">
        <f aca="false">IF($B129&lt;&gt;1,"",IF(Candidates!I129&lt;='Find Candidates'!$B$9,1,0))</f>
        <v/>
      </c>
      <c r="I129" s="140" t="n">
        <f aca="false">IF($B129=1,C129*'Find Candidates'!$B$15+D129*'Find Candidates'!$B$16+E129*'Find Candidates'!$B$17+F129*'Find Candidates'!$B$18+G129*'Find Candidates'!$B$19+H129*'Find Candidates'!$B$20,0)</f>
        <v>0</v>
      </c>
      <c r="J129" s="140" t="str">
        <f aca="false">IF(AND($B129=1,I129&gt;0),I129-ROW()/10^8,"")</f>
        <v/>
      </c>
    </row>
    <row r="130" customFormat="false" ht="15" hidden="false" customHeight="false" outlineLevel="0" collapsed="false">
      <c r="A130" s="140" t="str">
        <f aca="false">IF(Candidates!A130="","",Candidates!A130)</f>
        <v/>
      </c>
      <c r="B130" s="140" t="str">
        <f aca="false">IF(Candidates!A130="","",IF(AND(Candidates!M130&lt;&gt;"Hired",Candidates!N130&lt;&gt;"Do Not Contact",Candidates!Q130="Yes"),1,0))</f>
        <v/>
      </c>
      <c r="C130" s="140" t="str">
        <f aca="false">IF($B130&lt;&gt;1,"",IF('Find Candidates'!$B$11=0,0,SUMPRODUCT(('Find Candidates'!$B$10:$F$10&lt;&gt;"")*ISNUMBER(SEARCH('Find Candidates'!$B$10:$F$10,Candidates!G130)))/'Find Candidates'!$B$11))</f>
        <v/>
      </c>
      <c r="D130" s="140" t="str">
        <f aca="false">IF($B130&lt;&gt;1,"",IF(N('Find Candidates'!$B$7)=0,1,MIN(1,Candidates!H130/'Find Candidates'!$B$7)))</f>
        <v/>
      </c>
      <c r="E130" s="140" t="str">
        <f aca="false">IF($B130&lt;&gt;1,"",IF(Candidates!F130='Find Candidates'!$B$6,1,0))</f>
        <v/>
      </c>
      <c r="F130" s="140" t="str">
        <f aca="false">IF($B130&lt;&gt;1,"",IF(Candidates!J130='Find Candidates'!$B$8,1,0))</f>
        <v/>
      </c>
      <c r="G130" s="140" t="str">
        <f aca="false">IF($B130&lt;&gt;1,"",IF(Candidates!K130&lt;=30,1,IF(Candidates!K130&lt;=60,0.5,0)))</f>
        <v/>
      </c>
      <c r="H130" s="140" t="str">
        <f aca="false">IF($B130&lt;&gt;1,"",IF(Candidates!I130&lt;='Find Candidates'!$B$9,1,0))</f>
        <v/>
      </c>
      <c r="I130" s="140" t="n">
        <f aca="false">IF($B130=1,C130*'Find Candidates'!$B$15+D130*'Find Candidates'!$B$16+E130*'Find Candidates'!$B$17+F130*'Find Candidates'!$B$18+G130*'Find Candidates'!$B$19+H130*'Find Candidates'!$B$20,0)</f>
        <v>0</v>
      </c>
      <c r="J130" s="140" t="str">
        <f aca="false">IF(AND($B130=1,I130&gt;0),I130-ROW()/10^8,"")</f>
        <v/>
      </c>
    </row>
    <row r="131" customFormat="false" ht="15" hidden="false" customHeight="false" outlineLevel="0" collapsed="false">
      <c r="A131" s="140" t="str">
        <f aca="false">IF(Candidates!A131="","",Candidates!A131)</f>
        <v/>
      </c>
      <c r="B131" s="140" t="str">
        <f aca="false">IF(Candidates!A131="","",IF(AND(Candidates!M131&lt;&gt;"Hired",Candidates!N131&lt;&gt;"Do Not Contact",Candidates!Q131="Yes"),1,0))</f>
        <v/>
      </c>
      <c r="C131" s="140" t="str">
        <f aca="false">IF($B131&lt;&gt;1,"",IF('Find Candidates'!$B$11=0,0,SUMPRODUCT(('Find Candidates'!$B$10:$F$10&lt;&gt;"")*ISNUMBER(SEARCH('Find Candidates'!$B$10:$F$10,Candidates!G131)))/'Find Candidates'!$B$11))</f>
        <v/>
      </c>
      <c r="D131" s="140" t="str">
        <f aca="false">IF($B131&lt;&gt;1,"",IF(N('Find Candidates'!$B$7)=0,1,MIN(1,Candidates!H131/'Find Candidates'!$B$7)))</f>
        <v/>
      </c>
      <c r="E131" s="140" t="str">
        <f aca="false">IF($B131&lt;&gt;1,"",IF(Candidates!F131='Find Candidates'!$B$6,1,0))</f>
        <v/>
      </c>
      <c r="F131" s="140" t="str">
        <f aca="false">IF($B131&lt;&gt;1,"",IF(Candidates!J131='Find Candidates'!$B$8,1,0))</f>
        <v/>
      </c>
      <c r="G131" s="140" t="str">
        <f aca="false">IF($B131&lt;&gt;1,"",IF(Candidates!K131&lt;=30,1,IF(Candidates!K131&lt;=60,0.5,0)))</f>
        <v/>
      </c>
      <c r="H131" s="140" t="str">
        <f aca="false">IF($B131&lt;&gt;1,"",IF(Candidates!I131&lt;='Find Candidates'!$B$9,1,0))</f>
        <v/>
      </c>
      <c r="I131" s="140" t="n">
        <f aca="false">IF($B131=1,C131*'Find Candidates'!$B$15+D131*'Find Candidates'!$B$16+E131*'Find Candidates'!$B$17+F131*'Find Candidates'!$B$18+G131*'Find Candidates'!$B$19+H131*'Find Candidates'!$B$20,0)</f>
        <v>0</v>
      </c>
      <c r="J131" s="140" t="str">
        <f aca="false">IF(AND($B131=1,I131&gt;0),I131-ROW()/10^8,"")</f>
        <v/>
      </c>
    </row>
    <row r="132" customFormat="false" ht="15" hidden="false" customHeight="false" outlineLevel="0" collapsed="false">
      <c r="A132" s="140" t="str">
        <f aca="false">IF(Candidates!A132="","",Candidates!A132)</f>
        <v/>
      </c>
      <c r="B132" s="140" t="str">
        <f aca="false">IF(Candidates!A132="","",IF(AND(Candidates!M132&lt;&gt;"Hired",Candidates!N132&lt;&gt;"Do Not Contact",Candidates!Q132="Yes"),1,0))</f>
        <v/>
      </c>
      <c r="C132" s="140" t="str">
        <f aca="false">IF($B132&lt;&gt;1,"",IF('Find Candidates'!$B$11=0,0,SUMPRODUCT(('Find Candidates'!$B$10:$F$10&lt;&gt;"")*ISNUMBER(SEARCH('Find Candidates'!$B$10:$F$10,Candidates!G132)))/'Find Candidates'!$B$11))</f>
        <v/>
      </c>
      <c r="D132" s="140" t="str">
        <f aca="false">IF($B132&lt;&gt;1,"",IF(N('Find Candidates'!$B$7)=0,1,MIN(1,Candidates!H132/'Find Candidates'!$B$7)))</f>
        <v/>
      </c>
      <c r="E132" s="140" t="str">
        <f aca="false">IF($B132&lt;&gt;1,"",IF(Candidates!F132='Find Candidates'!$B$6,1,0))</f>
        <v/>
      </c>
      <c r="F132" s="140" t="str">
        <f aca="false">IF($B132&lt;&gt;1,"",IF(Candidates!J132='Find Candidates'!$B$8,1,0))</f>
        <v/>
      </c>
      <c r="G132" s="140" t="str">
        <f aca="false">IF($B132&lt;&gt;1,"",IF(Candidates!K132&lt;=30,1,IF(Candidates!K132&lt;=60,0.5,0)))</f>
        <v/>
      </c>
      <c r="H132" s="140" t="str">
        <f aca="false">IF($B132&lt;&gt;1,"",IF(Candidates!I132&lt;='Find Candidates'!$B$9,1,0))</f>
        <v/>
      </c>
      <c r="I132" s="140" t="n">
        <f aca="false">IF($B132=1,C132*'Find Candidates'!$B$15+D132*'Find Candidates'!$B$16+E132*'Find Candidates'!$B$17+F132*'Find Candidates'!$B$18+G132*'Find Candidates'!$B$19+H132*'Find Candidates'!$B$20,0)</f>
        <v>0</v>
      </c>
      <c r="J132" s="140" t="str">
        <f aca="false">IF(AND($B132=1,I132&gt;0),I132-ROW()/10^8,"")</f>
        <v/>
      </c>
    </row>
    <row r="133" customFormat="false" ht="15" hidden="false" customHeight="false" outlineLevel="0" collapsed="false">
      <c r="A133" s="140" t="str">
        <f aca="false">IF(Candidates!A133="","",Candidates!A133)</f>
        <v/>
      </c>
      <c r="B133" s="140" t="str">
        <f aca="false">IF(Candidates!A133="","",IF(AND(Candidates!M133&lt;&gt;"Hired",Candidates!N133&lt;&gt;"Do Not Contact",Candidates!Q133="Yes"),1,0))</f>
        <v/>
      </c>
      <c r="C133" s="140" t="str">
        <f aca="false">IF($B133&lt;&gt;1,"",IF('Find Candidates'!$B$11=0,0,SUMPRODUCT(('Find Candidates'!$B$10:$F$10&lt;&gt;"")*ISNUMBER(SEARCH('Find Candidates'!$B$10:$F$10,Candidates!G133)))/'Find Candidates'!$B$11))</f>
        <v/>
      </c>
      <c r="D133" s="140" t="str">
        <f aca="false">IF($B133&lt;&gt;1,"",IF(N('Find Candidates'!$B$7)=0,1,MIN(1,Candidates!H133/'Find Candidates'!$B$7)))</f>
        <v/>
      </c>
      <c r="E133" s="140" t="str">
        <f aca="false">IF($B133&lt;&gt;1,"",IF(Candidates!F133='Find Candidates'!$B$6,1,0))</f>
        <v/>
      </c>
      <c r="F133" s="140" t="str">
        <f aca="false">IF($B133&lt;&gt;1,"",IF(Candidates!J133='Find Candidates'!$B$8,1,0))</f>
        <v/>
      </c>
      <c r="G133" s="140" t="str">
        <f aca="false">IF($B133&lt;&gt;1,"",IF(Candidates!K133&lt;=30,1,IF(Candidates!K133&lt;=60,0.5,0)))</f>
        <v/>
      </c>
      <c r="H133" s="140" t="str">
        <f aca="false">IF($B133&lt;&gt;1,"",IF(Candidates!I133&lt;='Find Candidates'!$B$9,1,0))</f>
        <v/>
      </c>
      <c r="I133" s="140" t="n">
        <f aca="false">IF($B133=1,C133*'Find Candidates'!$B$15+D133*'Find Candidates'!$B$16+E133*'Find Candidates'!$B$17+F133*'Find Candidates'!$B$18+G133*'Find Candidates'!$B$19+H133*'Find Candidates'!$B$20,0)</f>
        <v>0</v>
      </c>
      <c r="J133" s="140" t="str">
        <f aca="false">IF(AND($B133=1,I133&gt;0),I133-ROW()/10^8,"")</f>
        <v/>
      </c>
    </row>
    <row r="134" customFormat="false" ht="15" hidden="false" customHeight="false" outlineLevel="0" collapsed="false">
      <c r="A134" s="140" t="str">
        <f aca="false">IF(Candidates!A134="","",Candidates!A134)</f>
        <v/>
      </c>
      <c r="B134" s="140" t="str">
        <f aca="false">IF(Candidates!A134="","",IF(AND(Candidates!M134&lt;&gt;"Hired",Candidates!N134&lt;&gt;"Do Not Contact",Candidates!Q134="Yes"),1,0))</f>
        <v/>
      </c>
      <c r="C134" s="140" t="str">
        <f aca="false">IF($B134&lt;&gt;1,"",IF('Find Candidates'!$B$11=0,0,SUMPRODUCT(('Find Candidates'!$B$10:$F$10&lt;&gt;"")*ISNUMBER(SEARCH('Find Candidates'!$B$10:$F$10,Candidates!G134)))/'Find Candidates'!$B$11))</f>
        <v/>
      </c>
      <c r="D134" s="140" t="str">
        <f aca="false">IF($B134&lt;&gt;1,"",IF(N('Find Candidates'!$B$7)=0,1,MIN(1,Candidates!H134/'Find Candidates'!$B$7)))</f>
        <v/>
      </c>
      <c r="E134" s="140" t="str">
        <f aca="false">IF($B134&lt;&gt;1,"",IF(Candidates!F134='Find Candidates'!$B$6,1,0))</f>
        <v/>
      </c>
      <c r="F134" s="140" t="str">
        <f aca="false">IF($B134&lt;&gt;1,"",IF(Candidates!J134='Find Candidates'!$B$8,1,0))</f>
        <v/>
      </c>
      <c r="G134" s="140" t="str">
        <f aca="false">IF($B134&lt;&gt;1,"",IF(Candidates!K134&lt;=30,1,IF(Candidates!K134&lt;=60,0.5,0)))</f>
        <v/>
      </c>
      <c r="H134" s="140" t="str">
        <f aca="false">IF($B134&lt;&gt;1,"",IF(Candidates!I134&lt;='Find Candidates'!$B$9,1,0))</f>
        <v/>
      </c>
      <c r="I134" s="140" t="n">
        <f aca="false">IF($B134=1,C134*'Find Candidates'!$B$15+D134*'Find Candidates'!$B$16+E134*'Find Candidates'!$B$17+F134*'Find Candidates'!$B$18+G134*'Find Candidates'!$B$19+H134*'Find Candidates'!$B$20,0)</f>
        <v>0</v>
      </c>
      <c r="J134" s="140" t="str">
        <f aca="false">IF(AND($B134=1,I134&gt;0),I134-ROW()/10^8,"")</f>
        <v/>
      </c>
    </row>
    <row r="135" customFormat="false" ht="15" hidden="false" customHeight="false" outlineLevel="0" collapsed="false">
      <c r="A135" s="140" t="str">
        <f aca="false">IF(Candidates!A135="","",Candidates!A135)</f>
        <v/>
      </c>
      <c r="B135" s="140" t="str">
        <f aca="false">IF(Candidates!A135="","",IF(AND(Candidates!M135&lt;&gt;"Hired",Candidates!N135&lt;&gt;"Do Not Contact",Candidates!Q135="Yes"),1,0))</f>
        <v/>
      </c>
      <c r="C135" s="140" t="str">
        <f aca="false">IF($B135&lt;&gt;1,"",IF('Find Candidates'!$B$11=0,0,SUMPRODUCT(('Find Candidates'!$B$10:$F$10&lt;&gt;"")*ISNUMBER(SEARCH('Find Candidates'!$B$10:$F$10,Candidates!G135)))/'Find Candidates'!$B$11))</f>
        <v/>
      </c>
      <c r="D135" s="140" t="str">
        <f aca="false">IF($B135&lt;&gt;1,"",IF(N('Find Candidates'!$B$7)=0,1,MIN(1,Candidates!H135/'Find Candidates'!$B$7)))</f>
        <v/>
      </c>
      <c r="E135" s="140" t="str">
        <f aca="false">IF($B135&lt;&gt;1,"",IF(Candidates!F135='Find Candidates'!$B$6,1,0))</f>
        <v/>
      </c>
      <c r="F135" s="140" t="str">
        <f aca="false">IF($B135&lt;&gt;1,"",IF(Candidates!J135='Find Candidates'!$B$8,1,0))</f>
        <v/>
      </c>
      <c r="G135" s="140" t="str">
        <f aca="false">IF($B135&lt;&gt;1,"",IF(Candidates!K135&lt;=30,1,IF(Candidates!K135&lt;=60,0.5,0)))</f>
        <v/>
      </c>
      <c r="H135" s="140" t="str">
        <f aca="false">IF($B135&lt;&gt;1,"",IF(Candidates!I135&lt;='Find Candidates'!$B$9,1,0))</f>
        <v/>
      </c>
      <c r="I135" s="140" t="n">
        <f aca="false">IF($B135=1,C135*'Find Candidates'!$B$15+D135*'Find Candidates'!$B$16+E135*'Find Candidates'!$B$17+F135*'Find Candidates'!$B$18+G135*'Find Candidates'!$B$19+H135*'Find Candidates'!$B$20,0)</f>
        <v>0</v>
      </c>
      <c r="J135" s="140" t="str">
        <f aca="false">IF(AND($B135=1,I135&gt;0),I135-ROW()/10^8,"")</f>
        <v/>
      </c>
    </row>
    <row r="136" customFormat="false" ht="15" hidden="false" customHeight="false" outlineLevel="0" collapsed="false">
      <c r="A136" s="140" t="str">
        <f aca="false">IF(Candidates!A136="","",Candidates!A136)</f>
        <v/>
      </c>
      <c r="B136" s="140" t="str">
        <f aca="false">IF(Candidates!A136="","",IF(AND(Candidates!M136&lt;&gt;"Hired",Candidates!N136&lt;&gt;"Do Not Contact",Candidates!Q136="Yes"),1,0))</f>
        <v/>
      </c>
      <c r="C136" s="140" t="str">
        <f aca="false">IF($B136&lt;&gt;1,"",IF('Find Candidates'!$B$11=0,0,SUMPRODUCT(('Find Candidates'!$B$10:$F$10&lt;&gt;"")*ISNUMBER(SEARCH('Find Candidates'!$B$10:$F$10,Candidates!G136)))/'Find Candidates'!$B$11))</f>
        <v/>
      </c>
      <c r="D136" s="140" t="str">
        <f aca="false">IF($B136&lt;&gt;1,"",IF(N('Find Candidates'!$B$7)=0,1,MIN(1,Candidates!H136/'Find Candidates'!$B$7)))</f>
        <v/>
      </c>
      <c r="E136" s="140" t="str">
        <f aca="false">IF($B136&lt;&gt;1,"",IF(Candidates!F136='Find Candidates'!$B$6,1,0))</f>
        <v/>
      </c>
      <c r="F136" s="140" t="str">
        <f aca="false">IF($B136&lt;&gt;1,"",IF(Candidates!J136='Find Candidates'!$B$8,1,0))</f>
        <v/>
      </c>
      <c r="G136" s="140" t="str">
        <f aca="false">IF($B136&lt;&gt;1,"",IF(Candidates!K136&lt;=30,1,IF(Candidates!K136&lt;=60,0.5,0)))</f>
        <v/>
      </c>
      <c r="H136" s="140" t="str">
        <f aca="false">IF($B136&lt;&gt;1,"",IF(Candidates!I136&lt;='Find Candidates'!$B$9,1,0))</f>
        <v/>
      </c>
      <c r="I136" s="140" t="n">
        <f aca="false">IF($B136=1,C136*'Find Candidates'!$B$15+D136*'Find Candidates'!$B$16+E136*'Find Candidates'!$B$17+F136*'Find Candidates'!$B$18+G136*'Find Candidates'!$B$19+H136*'Find Candidates'!$B$20,0)</f>
        <v>0</v>
      </c>
      <c r="J136" s="140" t="str">
        <f aca="false">IF(AND($B136=1,I136&gt;0),I136-ROW()/10^8,"")</f>
        <v/>
      </c>
    </row>
    <row r="137" customFormat="false" ht="15" hidden="false" customHeight="false" outlineLevel="0" collapsed="false">
      <c r="A137" s="140" t="str">
        <f aca="false">IF(Candidates!A137="","",Candidates!A137)</f>
        <v/>
      </c>
      <c r="B137" s="140" t="str">
        <f aca="false">IF(Candidates!A137="","",IF(AND(Candidates!M137&lt;&gt;"Hired",Candidates!N137&lt;&gt;"Do Not Contact",Candidates!Q137="Yes"),1,0))</f>
        <v/>
      </c>
      <c r="C137" s="140" t="str">
        <f aca="false">IF($B137&lt;&gt;1,"",IF('Find Candidates'!$B$11=0,0,SUMPRODUCT(('Find Candidates'!$B$10:$F$10&lt;&gt;"")*ISNUMBER(SEARCH('Find Candidates'!$B$10:$F$10,Candidates!G137)))/'Find Candidates'!$B$11))</f>
        <v/>
      </c>
      <c r="D137" s="140" t="str">
        <f aca="false">IF($B137&lt;&gt;1,"",IF(N('Find Candidates'!$B$7)=0,1,MIN(1,Candidates!H137/'Find Candidates'!$B$7)))</f>
        <v/>
      </c>
      <c r="E137" s="140" t="str">
        <f aca="false">IF($B137&lt;&gt;1,"",IF(Candidates!F137='Find Candidates'!$B$6,1,0))</f>
        <v/>
      </c>
      <c r="F137" s="140" t="str">
        <f aca="false">IF($B137&lt;&gt;1,"",IF(Candidates!J137='Find Candidates'!$B$8,1,0))</f>
        <v/>
      </c>
      <c r="G137" s="140" t="str">
        <f aca="false">IF($B137&lt;&gt;1,"",IF(Candidates!K137&lt;=30,1,IF(Candidates!K137&lt;=60,0.5,0)))</f>
        <v/>
      </c>
      <c r="H137" s="140" t="str">
        <f aca="false">IF($B137&lt;&gt;1,"",IF(Candidates!I137&lt;='Find Candidates'!$B$9,1,0))</f>
        <v/>
      </c>
      <c r="I137" s="140" t="n">
        <f aca="false">IF($B137=1,C137*'Find Candidates'!$B$15+D137*'Find Candidates'!$B$16+E137*'Find Candidates'!$B$17+F137*'Find Candidates'!$B$18+G137*'Find Candidates'!$B$19+H137*'Find Candidates'!$B$20,0)</f>
        <v>0</v>
      </c>
      <c r="J137" s="140" t="str">
        <f aca="false">IF(AND($B137=1,I137&gt;0),I137-ROW()/10^8,"")</f>
        <v/>
      </c>
    </row>
    <row r="138" customFormat="false" ht="15" hidden="false" customHeight="false" outlineLevel="0" collapsed="false">
      <c r="A138" s="140" t="str">
        <f aca="false">IF(Candidates!A138="","",Candidates!A138)</f>
        <v/>
      </c>
      <c r="B138" s="140" t="str">
        <f aca="false">IF(Candidates!A138="","",IF(AND(Candidates!M138&lt;&gt;"Hired",Candidates!N138&lt;&gt;"Do Not Contact",Candidates!Q138="Yes"),1,0))</f>
        <v/>
      </c>
      <c r="C138" s="140" t="str">
        <f aca="false">IF($B138&lt;&gt;1,"",IF('Find Candidates'!$B$11=0,0,SUMPRODUCT(('Find Candidates'!$B$10:$F$10&lt;&gt;"")*ISNUMBER(SEARCH('Find Candidates'!$B$10:$F$10,Candidates!G138)))/'Find Candidates'!$B$11))</f>
        <v/>
      </c>
      <c r="D138" s="140" t="str">
        <f aca="false">IF($B138&lt;&gt;1,"",IF(N('Find Candidates'!$B$7)=0,1,MIN(1,Candidates!H138/'Find Candidates'!$B$7)))</f>
        <v/>
      </c>
      <c r="E138" s="140" t="str">
        <f aca="false">IF($B138&lt;&gt;1,"",IF(Candidates!F138='Find Candidates'!$B$6,1,0))</f>
        <v/>
      </c>
      <c r="F138" s="140" t="str">
        <f aca="false">IF($B138&lt;&gt;1,"",IF(Candidates!J138='Find Candidates'!$B$8,1,0))</f>
        <v/>
      </c>
      <c r="G138" s="140" t="str">
        <f aca="false">IF($B138&lt;&gt;1,"",IF(Candidates!K138&lt;=30,1,IF(Candidates!K138&lt;=60,0.5,0)))</f>
        <v/>
      </c>
      <c r="H138" s="140" t="str">
        <f aca="false">IF($B138&lt;&gt;1,"",IF(Candidates!I138&lt;='Find Candidates'!$B$9,1,0))</f>
        <v/>
      </c>
      <c r="I138" s="140" t="n">
        <f aca="false">IF($B138=1,C138*'Find Candidates'!$B$15+D138*'Find Candidates'!$B$16+E138*'Find Candidates'!$B$17+F138*'Find Candidates'!$B$18+G138*'Find Candidates'!$B$19+H138*'Find Candidates'!$B$20,0)</f>
        <v>0</v>
      </c>
      <c r="J138" s="140" t="str">
        <f aca="false">IF(AND($B138=1,I138&gt;0),I138-ROW()/10^8,"")</f>
        <v/>
      </c>
    </row>
    <row r="139" customFormat="false" ht="15" hidden="false" customHeight="false" outlineLevel="0" collapsed="false">
      <c r="A139" s="140" t="str">
        <f aca="false">IF(Candidates!A139="","",Candidates!A139)</f>
        <v/>
      </c>
      <c r="B139" s="140" t="str">
        <f aca="false">IF(Candidates!A139="","",IF(AND(Candidates!M139&lt;&gt;"Hired",Candidates!N139&lt;&gt;"Do Not Contact",Candidates!Q139="Yes"),1,0))</f>
        <v/>
      </c>
      <c r="C139" s="140" t="str">
        <f aca="false">IF($B139&lt;&gt;1,"",IF('Find Candidates'!$B$11=0,0,SUMPRODUCT(('Find Candidates'!$B$10:$F$10&lt;&gt;"")*ISNUMBER(SEARCH('Find Candidates'!$B$10:$F$10,Candidates!G139)))/'Find Candidates'!$B$11))</f>
        <v/>
      </c>
      <c r="D139" s="140" t="str">
        <f aca="false">IF($B139&lt;&gt;1,"",IF(N('Find Candidates'!$B$7)=0,1,MIN(1,Candidates!H139/'Find Candidates'!$B$7)))</f>
        <v/>
      </c>
      <c r="E139" s="140" t="str">
        <f aca="false">IF($B139&lt;&gt;1,"",IF(Candidates!F139='Find Candidates'!$B$6,1,0))</f>
        <v/>
      </c>
      <c r="F139" s="140" t="str">
        <f aca="false">IF($B139&lt;&gt;1,"",IF(Candidates!J139='Find Candidates'!$B$8,1,0))</f>
        <v/>
      </c>
      <c r="G139" s="140" t="str">
        <f aca="false">IF($B139&lt;&gt;1,"",IF(Candidates!K139&lt;=30,1,IF(Candidates!K139&lt;=60,0.5,0)))</f>
        <v/>
      </c>
      <c r="H139" s="140" t="str">
        <f aca="false">IF($B139&lt;&gt;1,"",IF(Candidates!I139&lt;='Find Candidates'!$B$9,1,0))</f>
        <v/>
      </c>
      <c r="I139" s="140" t="n">
        <f aca="false">IF($B139=1,C139*'Find Candidates'!$B$15+D139*'Find Candidates'!$B$16+E139*'Find Candidates'!$B$17+F139*'Find Candidates'!$B$18+G139*'Find Candidates'!$B$19+H139*'Find Candidates'!$B$20,0)</f>
        <v>0</v>
      </c>
      <c r="J139" s="140" t="str">
        <f aca="false">IF(AND($B139=1,I139&gt;0),I139-ROW()/10^8,"")</f>
        <v/>
      </c>
    </row>
    <row r="140" customFormat="false" ht="15" hidden="false" customHeight="false" outlineLevel="0" collapsed="false">
      <c r="A140" s="140" t="str">
        <f aca="false">IF(Candidates!A140="","",Candidates!A140)</f>
        <v/>
      </c>
      <c r="B140" s="140" t="str">
        <f aca="false">IF(Candidates!A140="","",IF(AND(Candidates!M140&lt;&gt;"Hired",Candidates!N140&lt;&gt;"Do Not Contact",Candidates!Q140="Yes"),1,0))</f>
        <v/>
      </c>
      <c r="C140" s="140" t="str">
        <f aca="false">IF($B140&lt;&gt;1,"",IF('Find Candidates'!$B$11=0,0,SUMPRODUCT(('Find Candidates'!$B$10:$F$10&lt;&gt;"")*ISNUMBER(SEARCH('Find Candidates'!$B$10:$F$10,Candidates!G140)))/'Find Candidates'!$B$11))</f>
        <v/>
      </c>
      <c r="D140" s="140" t="str">
        <f aca="false">IF($B140&lt;&gt;1,"",IF(N('Find Candidates'!$B$7)=0,1,MIN(1,Candidates!H140/'Find Candidates'!$B$7)))</f>
        <v/>
      </c>
      <c r="E140" s="140" t="str">
        <f aca="false">IF($B140&lt;&gt;1,"",IF(Candidates!F140='Find Candidates'!$B$6,1,0))</f>
        <v/>
      </c>
      <c r="F140" s="140" t="str">
        <f aca="false">IF($B140&lt;&gt;1,"",IF(Candidates!J140='Find Candidates'!$B$8,1,0))</f>
        <v/>
      </c>
      <c r="G140" s="140" t="str">
        <f aca="false">IF($B140&lt;&gt;1,"",IF(Candidates!K140&lt;=30,1,IF(Candidates!K140&lt;=60,0.5,0)))</f>
        <v/>
      </c>
      <c r="H140" s="140" t="str">
        <f aca="false">IF($B140&lt;&gt;1,"",IF(Candidates!I140&lt;='Find Candidates'!$B$9,1,0))</f>
        <v/>
      </c>
      <c r="I140" s="140" t="n">
        <f aca="false">IF($B140=1,C140*'Find Candidates'!$B$15+D140*'Find Candidates'!$B$16+E140*'Find Candidates'!$B$17+F140*'Find Candidates'!$B$18+G140*'Find Candidates'!$B$19+H140*'Find Candidates'!$B$20,0)</f>
        <v>0</v>
      </c>
      <c r="J140" s="140" t="str">
        <f aca="false">IF(AND($B140=1,I140&gt;0),I140-ROW()/10^8,"")</f>
        <v/>
      </c>
    </row>
    <row r="141" customFormat="false" ht="15" hidden="false" customHeight="false" outlineLevel="0" collapsed="false">
      <c r="A141" s="140" t="str">
        <f aca="false">IF(Candidates!A141="","",Candidates!A141)</f>
        <v/>
      </c>
      <c r="B141" s="140" t="str">
        <f aca="false">IF(Candidates!A141="","",IF(AND(Candidates!M141&lt;&gt;"Hired",Candidates!N141&lt;&gt;"Do Not Contact",Candidates!Q141="Yes"),1,0))</f>
        <v/>
      </c>
      <c r="C141" s="140" t="str">
        <f aca="false">IF($B141&lt;&gt;1,"",IF('Find Candidates'!$B$11=0,0,SUMPRODUCT(('Find Candidates'!$B$10:$F$10&lt;&gt;"")*ISNUMBER(SEARCH('Find Candidates'!$B$10:$F$10,Candidates!G141)))/'Find Candidates'!$B$11))</f>
        <v/>
      </c>
      <c r="D141" s="140" t="str">
        <f aca="false">IF($B141&lt;&gt;1,"",IF(N('Find Candidates'!$B$7)=0,1,MIN(1,Candidates!H141/'Find Candidates'!$B$7)))</f>
        <v/>
      </c>
      <c r="E141" s="140" t="str">
        <f aca="false">IF($B141&lt;&gt;1,"",IF(Candidates!F141='Find Candidates'!$B$6,1,0))</f>
        <v/>
      </c>
      <c r="F141" s="140" t="str">
        <f aca="false">IF($B141&lt;&gt;1,"",IF(Candidates!J141='Find Candidates'!$B$8,1,0))</f>
        <v/>
      </c>
      <c r="G141" s="140" t="str">
        <f aca="false">IF($B141&lt;&gt;1,"",IF(Candidates!K141&lt;=30,1,IF(Candidates!K141&lt;=60,0.5,0)))</f>
        <v/>
      </c>
      <c r="H141" s="140" t="str">
        <f aca="false">IF($B141&lt;&gt;1,"",IF(Candidates!I141&lt;='Find Candidates'!$B$9,1,0))</f>
        <v/>
      </c>
      <c r="I141" s="140" t="n">
        <f aca="false">IF($B141=1,C141*'Find Candidates'!$B$15+D141*'Find Candidates'!$B$16+E141*'Find Candidates'!$B$17+F141*'Find Candidates'!$B$18+G141*'Find Candidates'!$B$19+H141*'Find Candidates'!$B$20,0)</f>
        <v>0</v>
      </c>
      <c r="J141" s="140" t="str">
        <f aca="false">IF(AND($B141=1,I141&gt;0),I141-ROW()/10^8,"")</f>
        <v/>
      </c>
    </row>
    <row r="142" customFormat="false" ht="15" hidden="false" customHeight="false" outlineLevel="0" collapsed="false">
      <c r="A142" s="140" t="str">
        <f aca="false">IF(Candidates!A142="","",Candidates!A142)</f>
        <v/>
      </c>
      <c r="B142" s="140" t="str">
        <f aca="false">IF(Candidates!A142="","",IF(AND(Candidates!M142&lt;&gt;"Hired",Candidates!N142&lt;&gt;"Do Not Contact",Candidates!Q142="Yes"),1,0))</f>
        <v/>
      </c>
      <c r="C142" s="140" t="str">
        <f aca="false">IF($B142&lt;&gt;1,"",IF('Find Candidates'!$B$11=0,0,SUMPRODUCT(('Find Candidates'!$B$10:$F$10&lt;&gt;"")*ISNUMBER(SEARCH('Find Candidates'!$B$10:$F$10,Candidates!G142)))/'Find Candidates'!$B$11))</f>
        <v/>
      </c>
      <c r="D142" s="140" t="str">
        <f aca="false">IF($B142&lt;&gt;1,"",IF(N('Find Candidates'!$B$7)=0,1,MIN(1,Candidates!H142/'Find Candidates'!$B$7)))</f>
        <v/>
      </c>
      <c r="E142" s="140" t="str">
        <f aca="false">IF($B142&lt;&gt;1,"",IF(Candidates!F142='Find Candidates'!$B$6,1,0))</f>
        <v/>
      </c>
      <c r="F142" s="140" t="str">
        <f aca="false">IF($B142&lt;&gt;1,"",IF(Candidates!J142='Find Candidates'!$B$8,1,0))</f>
        <v/>
      </c>
      <c r="G142" s="140" t="str">
        <f aca="false">IF($B142&lt;&gt;1,"",IF(Candidates!K142&lt;=30,1,IF(Candidates!K142&lt;=60,0.5,0)))</f>
        <v/>
      </c>
      <c r="H142" s="140" t="str">
        <f aca="false">IF($B142&lt;&gt;1,"",IF(Candidates!I142&lt;='Find Candidates'!$B$9,1,0))</f>
        <v/>
      </c>
      <c r="I142" s="140" t="n">
        <f aca="false">IF($B142=1,C142*'Find Candidates'!$B$15+D142*'Find Candidates'!$B$16+E142*'Find Candidates'!$B$17+F142*'Find Candidates'!$B$18+G142*'Find Candidates'!$B$19+H142*'Find Candidates'!$B$20,0)</f>
        <v>0</v>
      </c>
      <c r="J142" s="140" t="str">
        <f aca="false">IF(AND($B142=1,I142&gt;0),I142-ROW()/10^8,"")</f>
        <v/>
      </c>
    </row>
    <row r="143" customFormat="false" ht="15" hidden="false" customHeight="false" outlineLevel="0" collapsed="false">
      <c r="A143" s="140" t="str">
        <f aca="false">IF(Candidates!A143="","",Candidates!A143)</f>
        <v/>
      </c>
      <c r="B143" s="140" t="str">
        <f aca="false">IF(Candidates!A143="","",IF(AND(Candidates!M143&lt;&gt;"Hired",Candidates!N143&lt;&gt;"Do Not Contact",Candidates!Q143="Yes"),1,0))</f>
        <v/>
      </c>
      <c r="C143" s="140" t="str">
        <f aca="false">IF($B143&lt;&gt;1,"",IF('Find Candidates'!$B$11=0,0,SUMPRODUCT(('Find Candidates'!$B$10:$F$10&lt;&gt;"")*ISNUMBER(SEARCH('Find Candidates'!$B$10:$F$10,Candidates!G143)))/'Find Candidates'!$B$11))</f>
        <v/>
      </c>
      <c r="D143" s="140" t="str">
        <f aca="false">IF($B143&lt;&gt;1,"",IF(N('Find Candidates'!$B$7)=0,1,MIN(1,Candidates!H143/'Find Candidates'!$B$7)))</f>
        <v/>
      </c>
      <c r="E143" s="140" t="str">
        <f aca="false">IF($B143&lt;&gt;1,"",IF(Candidates!F143='Find Candidates'!$B$6,1,0))</f>
        <v/>
      </c>
      <c r="F143" s="140" t="str">
        <f aca="false">IF($B143&lt;&gt;1,"",IF(Candidates!J143='Find Candidates'!$B$8,1,0))</f>
        <v/>
      </c>
      <c r="G143" s="140" t="str">
        <f aca="false">IF($B143&lt;&gt;1,"",IF(Candidates!K143&lt;=30,1,IF(Candidates!K143&lt;=60,0.5,0)))</f>
        <v/>
      </c>
      <c r="H143" s="140" t="str">
        <f aca="false">IF($B143&lt;&gt;1,"",IF(Candidates!I143&lt;='Find Candidates'!$B$9,1,0))</f>
        <v/>
      </c>
      <c r="I143" s="140" t="n">
        <f aca="false">IF($B143=1,C143*'Find Candidates'!$B$15+D143*'Find Candidates'!$B$16+E143*'Find Candidates'!$B$17+F143*'Find Candidates'!$B$18+G143*'Find Candidates'!$B$19+H143*'Find Candidates'!$B$20,0)</f>
        <v>0</v>
      </c>
      <c r="J143" s="140" t="str">
        <f aca="false">IF(AND($B143=1,I143&gt;0),I143-ROW()/10^8,"")</f>
        <v/>
      </c>
    </row>
    <row r="144" customFormat="false" ht="15" hidden="false" customHeight="false" outlineLevel="0" collapsed="false">
      <c r="A144" s="140" t="str">
        <f aca="false">IF(Candidates!A144="","",Candidates!A144)</f>
        <v/>
      </c>
      <c r="B144" s="140" t="str">
        <f aca="false">IF(Candidates!A144="","",IF(AND(Candidates!M144&lt;&gt;"Hired",Candidates!N144&lt;&gt;"Do Not Contact",Candidates!Q144="Yes"),1,0))</f>
        <v/>
      </c>
      <c r="C144" s="140" t="str">
        <f aca="false">IF($B144&lt;&gt;1,"",IF('Find Candidates'!$B$11=0,0,SUMPRODUCT(('Find Candidates'!$B$10:$F$10&lt;&gt;"")*ISNUMBER(SEARCH('Find Candidates'!$B$10:$F$10,Candidates!G144)))/'Find Candidates'!$B$11))</f>
        <v/>
      </c>
      <c r="D144" s="140" t="str">
        <f aca="false">IF($B144&lt;&gt;1,"",IF(N('Find Candidates'!$B$7)=0,1,MIN(1,Candidates!H144/'Find Candidates'!$B$7)))</f>
        <v/>
      </c>
      <c r="E144" s="140" t="str">
        <f aca="false">IF($B144&lt;&gt;1,"",IF(Candidates!F144='Find Candidates'!$B$6,1,0))</f>
        <v/>
      </c>
      <c r="F144" s="140" t="str">
        <f aca="false">IF($B144&lt;&gt;1,"",IF(Candidates!J144='Find Candidates'!$B$8,1,0))</f>
        <v/>
      </c>
      <c r="G144" s="140" t="str">
        <f aca="false">IF($B144&lt;&gt;1,"",IF(Candidates!K144&lt;=30,1,IF(Candidates!K144&lt;=60,0.5,0)))</f>
        <v/>
      </c>
      <c r="H144" s="140" t="str">
        <f aca="false">IF($B144&lt;&gt;1,"",IF(Candidates!I144&lt;='Find Candidates'!$B$9,1,0))</f>
        <v/>
      </c>
      <c r="I144" s="140" t="n">
        <f aca="false">IF($B144=1,C144*'Find Candidates'!$B$15+D144*'Find Candidates'!$B$16+E144*'Find Candidates'!$B$17+F144*'Find Candidates'!$B$18+G144*'Find Candidates'!$B$19+H144*'Find Candidates'!$B$20,0)</f>
        <v>0</v>
      </c>
      <c r="J144" s="140" t="str">
        <f aca="false">IF(AND($B144=1,I144&gt;0),I144-ROW()/10^8,"")</f>
        <v/>
      </c>
    </row>
    <row r="145" customFormat="false" ht="15" hidden="false" customHeight="false" outlineLevel="0" collapsed="false">
      <c r="A145" s="140" t="str">
        <f aca="false">IF(Candidates!A145="","",Candidates!A145)</f>
        <v/>
      </c>
      <c r="B145" s="140" t="str">
        <f aca="false">IF(Candidates!A145="","",IF(AND(Candidates!M145&lt;&gt;"Hired",Candidates!N145&lt;&gt;"Do Not Contact",Candidates!Q145="Yes"),1,0))</f>
        <v/>
      </c>
      <c r="C145" s="140" t="str">
        <f aca="false">IF($B145&lt;&gt;1,"",IF('Find Candidates'!$B$11=0,0,SUMPRODUCT(('Find Candidates'!$B$10:$F$10&lt;&gt;"")*ISNUMBER(SEARCH('Find Candidates'!$B$10:$F$10,Candidates!G145)))/'Find Candidates'!$B$11))</f>
        <v/>
      </c>
      <c r="D145" s="140" t="str">
        <f aca="false">IF($B145&lt;&gt;1,"",IF(N('Find Candidates'!$B$7)=0,1,MIN(1,Candidates!H145/'Find Candidates'!$B$7)))</f>
        <v/>
      </c>
      <c r="E145" s="140" t="str">
        <f aca="false">IF($B145&lt;&gt;1,"",IF(Candidates!F145='Find Candidates'!$B$6,1,0))</f>
        <v/>
      </c>
      <c r="F145" s="140" t="str">
        <f aca="false">IF($B145&lt;&gt;1,"",IF(Candidates!J145='Find Candidates'!$B$8,1,0))</f>
        <v/>
      </c>
      <c r="G145" s="140" t="str">
        <f aca="false">IF($B145&lt;&gt;1,"",IF(Candidates!K145&lt;=30,1,IF(Candidates!K145&lt;=60,0.5,0)))</f>
        <v/>
      </c>
      <c r="H145" s="140" t="str">
        <f aca="false">IF($B145&lt;&gt;1,"",IF(Candidates!I145&lt;='Find Candidates'!$B$9,1,0))</f>
        <v/>
      </c>
      <c r="I145" s="140" t="n">
        <f aca="false">IF($B145=1,C145*'Find Candidates'!$B$15+D145*'Find Candidates'!$B$16+E145*'Find Candidates'!$B$17+F145*'Find Candidates'!$B$18+G145*'Find Candidates'!$B$19+H145*'Find Candidates'!$B$20,0)</f>
        <v>0</v>
      </c>
      <c r="J145" s="140" t="str">
        <f aca="false">IF(AND($B145=1,I145&gt;0),I145-ROW()/10^8,"")</f>
        <v/>
      </c>
    </row>
    <row r="146" customFormat="false" ht="15" hidden="false" customHeight="false" outlineLevel="0" collapsed="false">
      <c r="A146" s="140" t="str">
        <f aca="false">IF(Candidates!A146="","",Candidates!A146)</f>
        <v/>
      </c>
      <c r="B146" s="140" t="str">
        <f aca="false">IF(Candidates!A146="","",IF(AND(Candidates!M146&lt;&gt;"Hired",Candidates!N146&lt;&gt;"Do Not Contact",Candidates!Q146="Yes"),1,0))</f>
        <v/>
      </c>
      <c r="C146" s="140" t="str">
        <f aca="false">IF($B146&lt;&gt;1,"",IF('Find Candidates'!$B$11=0,0,SUMPRODUCT(('Find Candidates'!$B$10:$F$10&lt;&gt;"")*ISNUMBER(SEARCH('Find Candidates'!$B$10:$F$10,Candidates!G146)))/'Find Candidates'!$B$11))</f>
        <v/>
      </c>
      <c r="D146" s="140" t="str">
        <f aca="false">IF($B146&lt;&gt;1,"",IF(N('Find Candidates'!$B$7)=0,1,MIN(1,Candidates!H146/'Find Candidates'!$B$7)))</f>
        <v/>
      </c>
      <c r="E146" s="140" t="str">
        <f aca="false">IF($B146&lt;&gt;1,"",IF(Candidates!F146='Find Candidates'!$B$6,1,0))</f>
        <v/>
      </c>
      <c r="F146" s="140" t="str">
        <f aca="false">IF($B146&lt;&gt;1,"",IF(Candidates!J146='Find Candidates'!$B$8,1,0))</f>
        <v/>
      </c>
      <c r="G146" s="140" t="str">
        <f aca="false">IF($B146&lt;&gt;1,"",IF(Candidates!K146&lt;=30,1,IF(Candidates!K146&lt;=60,0.5,0)))</f>
        <v/>
      </c>
      <c r="H146" s="140" t="str">
        <f aca="false">IF($B146&lt;&gt;1,"",IF(Candidates!I146&lt;='Find Candidates'!$B$9,1,0))</f>
        <v/>
      </c>
      <c r="I146" s="140" t="n">
        <f aca="false">IF($B146=1,C146*'Find Candidates'!$B$15+D146*'Find Candidates'!$B$16+E146*'Find Candidates'!$B$17+F146*'Find Candidates'!$B$18+G146*'Find Candidates'!$B$19+H146*'Find Candidates'!$B$20,0)</f>
        <v>0</v>
      </c>
      <c r="J146" s="140" t="str">
        <f aca="false">IF(AND($B146=1,I146&gt;0),I146-ROW()/10^8,"")</f>
        <v/>
      </c>
    </row>
    <row r="147" customFormat="false" ht="15" hidden="false" customHeight="false" outlineLevel="0" collapsed="false">
      <c r="A147" s="140" t="str">
        <f aca="false">IF(Candidates!A147="","",Candidates!A147)</f>
        <v/>
      </c>
      <c r="B147" s="140" t="str">
        <f aca="false">IF(Candidates!A147="","",IF(AND(Candidates!M147&lt;&gt;"Hired",Candidates!N147&lt;&gt;"Do Not Contact",Candidates!Q147="Yes"),1,0))</f>
        <v/>
      </c>
      <c r="C147" s="140" t="str">
        <f aca="false">IF($B147&lt;&gt;1,"",IF('Find Candidates'!$B$11=0,0,SUMPRODUCT(('Find Candidates'!$B$10:$F$10&lt;&gt;"")*ISNUMBER(SEARCH('Find Candidates'!$B$10:$F$10,Candidates!G147)))/'Find Candidates'!$B$11))</f>
        <v/>
      </c>
      <c r="D147" s="140" t="str">
        <f aca="false">IF($B147&lt;&gt;1,"",IF(N('Find Candidates'!$B$7)=0,1,MIN(1,Candidates!H147/'Find Candidates'!$B$7)))</f>
        <v/>
      </c>
      <c r="E147" s="140" t="str">
        <f aca="false">IF($B147&lt;&gt;1,"",IF(Candidates!F147='Find Candidates'!$B$6,1,0))</f>
        <v/>
      </c>
      <c r="F147" s="140" t="str">
        <f aca="false">IF($B147&lt;&gt;1,"",IF(Candidates!J147='Find Candidates'!$B$8,1,0))</f>
        <v/>
      </c>
      <c r="G147" s="140" t="str">
        <f aca="false">IF($B147&lt;&gt;1,"",IF(Candidates!K147&lt;=30,1,IF(Candidates!K147&lt;=60,0.5,0)))</f>
        <v/>
      </c>
      <c r="H147" s="140" t="str">
        <f aca="false">IF($B147&lt;&gt;1,"",IF(Candidates!I147&lt;='Find Candidates'!$B$9,1,0))</f>
        <v/>
      </c>
      <c r="I147" s="140" t="n">
        <f aca="false">IF($B147=1,C147*'Find Candidates'!$B$15+D147*'Find Candidates'!$B$16+E147*'Find Candidates'!$B$17+F147*'Find Candidates'!$B$18+G147*'Find Candidates'!$B$19+H147*'Find Candidates'!$B$20,0)</f>
        <v>0</v>
      </c>
      <c r="J147" s="140" t="str">
        <f aca="false">IF(AND($B147=1,I147&gt;0),I147-ROW()/10^8,"")</f>
        <v/>
      </c>
    </row>
    <row r="148" customFormat="false" ht="15" hidden="false" customHeight="false" outlineLevel="0" collapsed="false">
      <c r="A148" s="140" t="str">
        <f aca="false">IF(Candidates!A148="","",Candidates!A148)</f>
        <v/>
      </c>
      <c r="B148" s="140" t="str">
        <f aca="false">IF(Candidates!A148="","",IF(AND(Candidates!M148&lt;&gt;"Hired",Candidates!N148&lt;&gt;"Do Not Contact",Candidates!Q148="Yes"),1,0))</f>
        <v/>
      </c>
      <c r="C148" s="140" t="str">
        <f aca="false">IF($B148&lt;&gt;1,"",IF('Find Candidates'!$B$11=0,0,SUMPRODUCT(('Find Candidates'!$B$10:$F$10&lt;&gt;"")*ISNUMBER(SEARCH('Find Candidates'!$B$10:$F$10,Candidates!G148)))/'Find Candidates'!$B$11))</f>
        <v/>
      </c>
      <c r="D148" s="140" t="str">
        <f aca="false">IF($B148&lt;&gt;1,"",IF(N('Find Candidates'!$B$7)=0,1,MIN(1,Candidates!H148/'Find Candidates'!$B$7)))</f>
        <v/>
      </c>
      <c r="E148" s="140" t="str">
        <f aca="false">IF($B148&lt;&gt;1,"",IF(Candidates!F148='Find Candidates'!$B$6,1,0))</f>
        <v/>
      </c>
      <c r="F148" s="140" t="str">
        <f aca="false">IF($B148&lt;&gt;1,"",IF(Candidates!J148='Find Candidates'!$B$8,1,0))</f>
        <v/>
      </c>
      <c r="G148" s="140" t="str">
        <f aca="false">IF($B148&lt;&gt;1,"",IF(Candidates!K148&lt;=30,1,IF(Candidates!K148&lt;=60,0.5,0)))</f>
        <v/>
      </c>
      <c r="H148" s="140" t="str">
        <f aca="false">IF($B148&lt;&gt;1,"",IF(Candidates!I148&lt;='Find Candidates'!$B$9,1,0))</f>
        <v/>
      </c>
      <c r="I148" s="140" t="n">
        <f aca="false">IF($B148=1,C148*'Find Candidates'!$B$15+D148*'Find Candidates'!$B$16+E148*'Find Candidates'!$B$17+F148*'Find Candidates'!$B$18+G148*'Find Candidates'!$B$19+H148*'Find Candidates'!$B$20,0)</f>
        <v>0</v>
      </c>
      <c r="J148" s="140" t="str">
        <f aca="false">IF(AND($B148=1,I148&gt;0),I148-ROW()/10^8,"")</f>
        <v/>
      </c>
    </row>
    <row r="149" customFormat="false" ht="15" hidden="false" customHeight="false" outlineLevel="0" collapsed="false">
      <c r="A149" s="140" t="str">
        <f aca="false">IF(Candidates!A149="","",Candidates!A149)</f>
        <v/>
      </c>
      <c r="B149" s="140" t="str">
        <f aca="false">IF(Candidates!A149="","",IF(AND(Candidates!M149&lt;&gt;"Hired",Candidates!N149&lt;&gt;"Do Not Contact",Candidates!Q149="Yes"),1,0))</f>
        <v/>
      </c>
      <c r="C149" s="140" t="str">
        <f aca="false">IF($B149&lt;&gt;1,"",IF('Find Candidates'!$B$11=0,0,SUMPRODUCT(('Find Candidates'!$B$10:$F$10&lt;&gt;"")*ISNUMBER(SEARCH('Find Candidates'!$B$10:$F$10,Candidates!G149)))/'Find Candidates'!$B$11))</f>
        <v/>
      </c>
      <c r="D149" s="140" t="str">
        <f aca="false">IF($B149&lt;&gt;1,"",IF(N('Find Candidates'!$B$7)=0,1,MIN(1,Candidates!H149/'Find Candidates'!$B$7)))</f>
        <v/>
      </c>
      <c r="E149" s="140" t="str">
        <f aca="false">IF($B149&lt;&gt;1,"",IF(Candidates!F149='Find Candidates'!$B$6,1,0))</f>
        <v/>
      </c>
      <c r="F149" s="140" t="str">
        <f aca="false">IF($B149&lt;&gt;1,"",IF(Candidates!J149='Find Candidates'!$B$8,1,0))</f>
        <v/>
      </c>
      <c r="G149" s="140" t="str">
        <f aca="false">IF($B149&lt;&gt;1,"",IF(Candidates!K149&lt;=30,1,IF(Candidates!K149&lt;=60,0.5,0)))</f>
        <v/>
      </c>
      <c r="H149" s="140" t="str">
        <f aca="false">IF($B149&lt;&gt;1,"",IF(Candidates!I149&lt;='Find Candidates'!$B$9,1,0))</f>
        <v/>
      </c>
      <c r="I149" s="140" t="n">
        <f aca="false">IF($B149=1,C149*'Find Candidates'!$B$15+D149*'Find Candidates'!$B$16+E149*'Find Candidates'!$B$17+F149*'Find Candidates'!$B$18+G149*'Find Candidates'!$B$19+H149*'Find Candidates'!$B$20,0)</f>
        <v>0</v>
      </c>
      <c r="J149" s="140" t="str">
        <f aca="false">IF(AND($B149=1,I149&gt;0),I149-ROW()/10^8,"")</f>
        <v/>
      </c>
    </row>
    <row r="150" customFormat="false" ht="15" hidden="false" customHeight="false" outlineLevel="0" collapsed="false">
      <c r="A150" s="140" t="str">
        <f aca="false">IF(Candidates!A150="","",Candidates!A150)</f>
        <v/>
      </c>
      <c r="B150" s="140" t="str">
        <f aca="false">IF(Candidates!A150="","",IF(AND(Candidates!M150&lt;&gt;"Hired",Candidates!N150&lt;&gt;"Do Not Contact",Candidates!Q150="Yes"),1,0))</f>
        <v/>
      </c>
      <c r="C150" s="140" t="str">
        <f aca="false">IF($B150&lt;&gt;1,"",IF('Find Candidates'!$B$11=0,0,SUMPRODUCT(('Find Candidates'!$B$10:$F$10&lt;&gt;"")*ISNUMBER(SEARCH('Find Candidates'!$B$10:$F$10,Candidates!G150)))/'Find Candidates'!$B$11))</f>
        <v/>
      </c>
      <c r="D150" s="140" t="str">
        <f aca="false">IF($B150&lt;&gt;1,"",IF(N('Find Candidates'!$B$7)=0,1,MIN(1,Candidates!H150/'Find Candidates'!$B$7)))</f>
        <v/>
      </c>
      <c r="E150" s="140" t="str">
        <f aca="false">IF($B150&lt;&gt;1,"",IF(Candidates!F150='Find Candidates'!$B$6,1,0))</f>
        <v/>
      </c>
      <c r="F150" s="140" t="str">
        <f aca="false">IF($B150&lt;&gt;1,"",IF(Candidates!J150='Find Candidates'!$B$8,1,0))</f>
        <v/>
      </c>
      <c r="G150" s="140" t="str">
        <f aca="false">IF($B150&lt;&gt;1,"",IF(Candidates!K150&lt;=30,1,IF(Candidates!K150&lt;=60,0.5,0)))</f>
        <v/>
      </c>
      <c r="H150" s="140" t="str">
        <f aca="false">IF($B150&lt;&gt;1,"",IF(Candidates!I150&lt;='Find Candidates'!$B$9,1,0))</f>
        <v/>
      </c>
      <c r="I150" s="140" t="n">
        <f aca="false">IF($B150=1,C150*'Find Candidates'!$B$15+D150*'Find Candidates'!$B$16+E150*'Find Candidates'!$B$17+F150*'Find Candidates'!$B$18+G150*'Find Candidates'!$B$19+H150*'Find Candidates'!$B$20,0)</f>
        <v>0</v>
      </c>
      <c r="J150" s="140" t="str">
        <f aca="false">IF(AND($B150=1,I150&gt;0),I150-ROW()/10^8,"")</f>
        <v/>
      </c>
    </row>
    <row r="151" customFormat="false" ht="15" hidden="false" customHeight="false" outlineLevel="0" collapsed="false">
      <c r="A151" s="140" t="str">
        <f aca="false">IF(Candidates!A151="","",Candidates!A151)</f>
        <v/>
      </c>
      <c r="B151" s="140" t="str">
        <f aca="false">IF(Candidates!A151="","",IF(AND(Candidates!M151&lt;&gt;"Hired",Candidates!N151&lt;&gt;"Do Not Contact",Candidates!Q151="Yes"),1,0))</f>
        <v/>
      </c>
      <c r="C151" s="140" t="str">
        <f aca="false">IF($B151&lt;&gt;1,"",IF('Find Candidates'!$B$11=0,0,SUMPRODUCT(('Find Candidates'!$B$10:$F$10&lt;&gt;"")*ISNUMBER(SEARCH('Find Candidates'!$B$10:$F$10,Candidates!G151)))/'Find Candidates'!$B$11))</f>
        <v/>
      </c>
      <c r="D151" s="140" t="str">
        <f aca="false">IF($B151&lt;&gt;1,"",IF(N('Find Candidates'!$B$7)=0,1,MIN(1,Candidates!H151/'Find Candidates'!$B$7)))</f>
        <v/>
      </c>
      <c r="E151" s="140" t="str">
        <f aca="false">IF($B151&lt;&gt;1,"",IF(Candidates!F151='Find Candidates'!$B$6,1,0))</f>
        <v/>
      </c>
      <c r="F151" s="140" t="str">
        <f aca="false">IF($B151&lt;&gt;1,"",IF(Candidates!J151='Find Candidates'!$B$8,1,0))</f>
        <v/>
      </c>
      <c r="G151" s="140" t="str">
        <f aca="false">IF($B151&lt;&gt;1,"",IF(Candidates!K151&lt;=30,1,IF(Candidates!K151&lt;=60,0.5,0)))</f>
        <v/>
      </c>
      <c r="H151" s="140" t="str">
        <f aca="false">IF($B151&lt;&gt;1,"",IF(Candidates!I151&lt;='Find Candidates'!$B$9,1,0))</f>
        <v/>
      </c>
      <c r="I151" s="140" t="n">
        <f aca="false">IF($B151=1,C151*'Find Candidates'!$B$15+D151*'Find Candidates'!$B$16+E151*'Find Candidates'!$B$17+F151*'Find Candidates'!$B$18+G151*'Find Candidates'!$B$19+H151*'Find Candidates'!$B$20,0)</f>
        <v>0</v>
      </c>
      <c r="J151" s="140" t="str">
        <f aca="false">IF(AND($B151=1,I151&gt;0),I151-ROW()/10^8,"")</f>
        <v/>
      </c>
    </row>
    <row r="152" customFormat="false" ht="15" hidden="false" customHeight="false" outlineLevel="0" collapsed="false">
      <c r="A152" s="140" t="str">
        <f aca="false">IF(Candidates!A152="","",Candidates!A152)</f>
        <v/>
      </c>
      <c r="B152" s="140" t="str">
        <f aca="false">IF(Candidates!A152="","",IF(AND(Candidates!M152&lt;&gt;"Hired",Candidates!N152&lt;&gt;"Do Not Contact",Candidates!Q152="Yes"),1,0))</f>
        <v/>
      </c>
      <c r="C152" s="140" t="str">
        <f aca="false">IF($B152&lt;&gt;1,"",IF('Find Candidates'!$B$11=0,0,SUMPRODUCT(('Find Candidates'!$B$10:$F$10&lt;&gt;"")*ISNUMBER(SEARCH('Find Candidates'!$B$10:$F$10,Candidates!G152)))/'Find Candidates'!$B$11))</f>
        <v/>
      </c>
      <c r="D152" s="140" t="str">
        <f aca="false">IF($B152&lt;&gt;1,"",IF(N('Find Candidates'!$B$7)=0,1,MIN(1,Candidates!H152/'Find Candidates'!$B$7)))</f>
        <v/>
      </c>
      <c r="E152" s="140" t="str">
        <f aca="false">IF($B152&lt;&gt;1,"",IF(Candidates!F152='Find Candidates'!$B$6,1,0))</f>
        <v/>
      </c>
      <c r="F152" s="140" t="str">
        <f aca="false">IF($B152&lt;&gt;1,"",IF(Candidates!J152='Find Candidates'!$B$8,1,0))</f>
        <v/>
      </c>
      <c r="G152" s="140" t="str">
        <f aca="false">IF($B152&lt;&gt;1,"",IF(Candidates!K152&lt;=30,1,IF(Candidates!K152&lt;=60,0.5,0)))</f>
        <v/>
      </c>
      <c r="H152" s="140" t="str">
        <f aca="false">IF($B152&lt;&gt;1,"",IF(Candidates!I152&lt;='Find Candidates'!$B$9,1,0))</f>
        <v/>
      </c>
      <c r="I152" s="140" t="n">
        <f aca="false">IF($B152=1,C152*'Find Candidates'!$B$15+D152*'Find Candidates'!$B$16+E152*'Find Candidates'!$B$17+F152*'Find Candidates'!$B$18+G152*'Find Candidates'!$B$19+H152*'Find Candidates'!$B$20,0)</f>
        <v>0</v>
      </c>
      <c r="J152" s="140" t="str">
        <f aca="false">IF(AND($B152=1,I152&gt;0),I152-ROW()/10^8,"")</f>
        <v/>
      </c>
    </row>
    <row r="153" customFormat="false" ht="15" hidden="false" customHeight="false" outlineLevel="0" collapsed="false">
      <c r="A153" s="140" t="str">
        <f aca="false">IF(Candidates!A153="","",Candidates!A153)</f>
        <v/>
      </c>
      <c r="B153" s="140" t="str">
        <f aca="false">IF(Candidates!A153="","",IF(AND(Candidates!M153&lt;&gt;"Hired",Candidates!N153&lt;&gt;"Do Not Contact",Candidates!Q153="Yes"),1,0))</f>
        <v/>
      </c>
      <c r="C153" s="140" t="str">
        <f aca="false">IF($B153&lt;&gt;1,"",IF('Find Candidates'!$B$11=0,0,SUMPRODUCT(('Find Candidates'!$B$10:$F$10&lt;&gt;"")*ISNUMBER(SEARCH('Find Candidates'!$B$10:$F$10,Candidates!G153)))/'Find Candidates'!$B$11))</f>
        <v/>
      </c>
      <c r="D153" s="140" t="str">
        <f aca="false">IF($B153&lt;&gt;1,"",IF(N('Find Candidates'!$B$7)=0,1,MIN(1,Candidates!H153/'Find Candidates'!$B$7)))</f>
        <v/>
      </c>
      <c r="E153" s="140" t="str">
        <f aca="false">IF($B153&lt;&gt;1,"",IF(Candidates!F153='Find Candidates'!$B$6,1,0))</f>
        <v/>
      </c>
      <c r="F153" s="140" t="str">
        <f aca="false">IF($B153&lt;&gt;1,"",IF(Candidates!J153='Find Candidates'!$B$8,1,0))</f>
        <v/>
      </c>
      <c r="G153" s="140" t="str">
        <f aca="false">IF($B153&lt;&gt;1,"",IF(Candidates!K153&lt;=30,1,IF(Candidates!K153&lt;=60,0.5,0)))</f>
        <v/>
      </c>
      <c r="H153" s="140" t="str">
        <f aca="false">IF($B153&lt;&gt;1,"",IF(Candidates!I153&lt;='Find Candidates'!$B$9,1,0))</f>
        <v/>
      </c>
      <c r="I153" s="140" t="n">
        <f aca="false">IF($B153=1,C153*'Find Candidates'!$B$15+D153*'Find Candidates'!$B$16+E153*'Find Candidates'!$B$17+F153*'Find Candidates'!$B$18+G153*'Find Candidates'!$B$19+H153*'Find Candidates'!$B$20,0)</f>
        <v>0</v>
      </c>
      <c r="J153" s="140" t="str">
        <f aca="false">IF(AND($B153=1,I153&gt;0),I153-ROW()/10^8,"")</f>
        <v/>
      </c>
    </row>
    <row r="154" customFormat="false" ht="15" hidden="false" customHeight="false" outlineLevel="0" collapsed="false">
      <c r="A154" s="140" t="str">
        <f aca="false">IF(Candidates!A154="","",Candidates!A154)</f>
        <v/>
      </c>
      <c r="B154" s="140" t="str">
        <f aca="false">IF(Candidates!A154="","",IF(AND(Candidates!M154&lt;&gt;"Hired",Candidates!N154&lt;&gt;"Do Not Contact",Candidates!Q154="Yes"),1,0))</f>
        <v/>
      </c>
      <c r="C154" s="140" t="str">
        <f aca="false">IF($B154&lt;&gt;1,"",IF('Find Candidates'!$B$11=0,0,SUMPRODUCT(('Find Candidates'!$B$10:$F$10&lt;&gt;"")*ISNUMBER(SEARCH('Find Candidates'!$B$10:$F$10,Candidates!G154)))/'Find Candidates'!$B$11))</f>
        <v/>
      </c>
      <c r="D154" s="140" t="str">
        <f aca="false">IF($B154&lt;&gt;1,"",IF(N('Find Candidates'!$B$7)=0,1,MIN(1,Candidates!H154/'Find Candidates'!$B$7)))</f>
        <v/>
      </c>
      <c r="E154" s="140" t="str">
        <f aca="false">IF($B154&lt;&gt;1,"",IF(Candidates!F154='Find Candidates'!$B$6,1,0))</f>
        <v/>
      </c>
      <c r="F154" s="140" t="str">
        <f aca="false">IF($B154&lt;&gt;1,"",IF(Candidates!J154='Find Candidates'!$B$8,1,0))</f>
        <v/>
      </c>
      <c r="G154" s="140" t="str">
        <f aca="false">IF($B154&lt;&gt;1,"",IF(Candidates!K154&lt;=30,1,IF(Candidates!K154&lt;=60,0.5,0)))</f>
        <v/>
      </c>
      <c r="H154" s="140" t="str">
        <f aca="false">IF($B154&lt;&gt;1,"",IF(Candidates!I154&lt;='Find Candidates'!$B$9,1,0))</f>
        <v/>
      </c>
      <c r="I154" s="140" t="n">
        <f aca="false">IF($B154=1,C154*'Find Candidates'!$B$15+D154*'Find Candidates'!$B$16+E154*'Find Candidates'!$B$17+F154*'Find Candidates'!$B$18+G154*'Find Candidates'!$B$19+H154*'Find Candidates'!$B$20,0)</f>
        <v>0</v>
      </c>
      <c r="J154" s="140" t="str">
        <f aca="false">IF(AND($B154=1,I154&gt;0),I154-ROW()/10^8,"")</f>
        <v/>
      </c>
    </row>
    <row r="155" customFormat="false" ht="15" hidden="false" customHeight="false" outlineLevel="0" collapsed="false">
      <c r="A155" s="140" t="str">
        <f aca="false">IF(Candidates!A155="","",Candidates!A155)</f>
        <v/>
      </c>
      <c r="B155" s="140" t="str">
        <f aca="false">IF(Candidates!A155="","",IF(AND(Candidates!M155&lt;&gt;"Hired",Candidates!N155&lt;&gt;"Do Not Contact",Candidates!Q155="Yes"),1,0))</f>
        <v/>
      </c>
      <c r="C155" s="140" t="str">
        <f aca="false">IF($B155&lt;&gt;1,"",IF('Find Candidates'!$B$11=0,0,SUMPRODUCT(('Find Candidates'!$B$10:$F$10&lt;&gt;"")*ISNUMBER(SEARCH('Find Candidates'!$B$10:$F$10,Candidates!G155)))/'Find Candidates'!$B$11))</f>
        <v/>
      </c>
      <c r="D155" s="140" t="str">
        <f aca="false">IF($B155&lt;&gt;1,"",IF(N('Find Candidates'!$B$7)=0,1,MIN(1,Candidates!H155/'Find Candidates'!$B$7)))</f>
        <v/>
      </c>
      <c r="E155" s="140" t="str">
        <f aca="false">IF($B155&lt;&gt;1,"",IF(Candidates!F155='Find Candidates'!$B$6,1,0))</f>
        <v/>
      </c>
      <c r="F155" s="140" t="str">
        <f aca="false">IF($B155&lt;&gt;1,"",IF(Candidates!J155='Find Candidates'!$B$8,1,0))</f>
        <v/>
      </c>
      <c r="G155" s="140" t="str">
        <f aca="false">IF($B155&lt;&gt;1,"",IF(Candidates!K155&lt;=30,1,IF(Candidates!K155&lt;=60,0.5,0)))</f>
        <v/>
      </c>
      <c r="H155" s="140" t="str">
        <f aca="false">IF($B155&lt;&gt;1,"",IF(Candidates!I155&lt;='Find Candidates'!$B$9,1,0))</f>
        <v/>
      </c>
      <c r="I155" s="140" t="n">
        <f aca="false">IF($B155=1,C155*'Find Candidates'!$B$15+D155*'Find Candidates'!$B$16+E155*'Find Candidates'!$B$17+F155*'Find Candidates'!$B$18+G155*'Find Candidates'!$B$19+H155*'Find Candidates'!$B$20,0)</f>
        <v>0</v>
      </c>
      <c r="J155" s="140" t="str">
        <f aca="false">IF(AND($B155=1,I155&gt;0),I155-ROW()/10^8,"")</f>
        <v/>
      </c>
    </row>
    <row r="156" customFormat="false" ht="15" hidden="false" customHeight="false" outlineLevel="0" collapsed="false">
      <c r="A156" s="140" t="str">
        <f aca="false">IF(Candidates!A156="","",Candidates!A156)</f>
        <v/>
      </c>
      <c r="B156" s="140" t="str">
        <f aca="false">IF(Candidates!A156="","",IF(AND(Candidates!M156&lt;&gt;"Hired",Candidates!N156&lt;&gt;"Do Not Contact",Candidates!Q156="Yes"),1,0))</f>
        <v/>
      </c>
      <c r="C156" s="140" t="str">
        <f aca="false">IF($B156&lt;&gt;1,"",IF('Find Candidates'!$B$11=0,0,SUMPRODUCT(('Find Candidates'!$B$10:$F$10&lt;&gt;"")*ISNUMBER(SEARCH('Find Candidates'!$B$10:$F$10,Candidates!G156)))/'Find Candidates'!$B$11))</f>
        <v/>
      </c>
      <c r="D156" s="140" t="str">
        <f aca="false">IF($B156&lt;&gt;1,"",IF(N('Find Candidates'!$B$7)=0,1,MIN(1,Candidates!H156/'Find Candidates'!$B$7)))</f>
        <v/>
      </c>
      <c r="E156" s="140" t="str">
        <f aca="false">IF($B156&lt;&gt;1,"",IF(Candidates!F156='Find Candidates'!$B$6,1,0))</f>
        <v/>
      </c>
      <c r="F156" s="140" t="str">
        <f aca="false">IF($B156&lt;&gt;1,"",IF(Candidates!J156='Find Candidates'!$B$8,1,0))</f>
        <v/>
      </c>
      <c r="G156" s="140" t="str">
        <f aca="false">IF($B156&lt;&gt;1,"",IF(Candidates!K156&lt;=30,1,IF(Candidates!K156&lt;=60,0.5,0)))</f>
        <v/>
      </c>
      <c r="H156" s="140" t="str">
        <f aca="false">IF($B156&lt;&gt;1,"",IF(Candidates!I156&lt;='Find Candidates'!$B$9,1,0))</f>
        <v/>
      </c>
      <c r="I156" s="140" t="n">
        <f aca="false">IF($B156=1,C156*'Find Candidates'!$B$15+D156*'Find Candidates'!$B$16+E156*'Find Candidates'!$B$17+F156*'Find Candidates'!$B$18+G156*'Find Candidates'!$B$19+H156*'Find Candidates'!$B$20,0)</f>
        <v>0</v>
      </c>
      <c r="J156" s="140" t="str">
        <f aca="false">IF(AND($B156=1,I156&gt;0),I156-ROW()/10^8,"")</f>
        <v/>
      </c>
    </row>
    <row r="157" customFormat="false" ht="15" hidden="false" customHeight="false" outlineLevel="0" collapsed="false">
      <c r="A157" s="140" t="str">
        <f aca="false">IF(Candidates!A157="","",Candidates!A157)</f>
        <v/>
      </c>
      <c r="B157" s="140" t="str">
        <f aca="false">IF(Candidates!A157="","",IF(AND(Candidates!M157&lt;&gt;"Hired",Candidates!N157&lt;&gt;"Do Not Contact",Candidates!Q157="Yes"),1,0))</f>
        <v/>
      </c>
      <c r="C157" s="140" t="str">
        <f aca="false">IF($B157&lt;&gt;1,"",IF('Find Candidates'!$B$11=0,0,SUMPRODUCT(('Find Candidates'!$B$10:$F$10&lt;&gt;"")*ISNUMBER(SEARCH('Find Candidates'!$B$10:$F$10,Candidates!G157)))/'Find Candidates'!$B$11))</f>
        <v/>
      </c>
      <c r="D157" s="140" t="str">
        <f aca="false">IF($B157&lt;&gt;1,"",IF(N('Find Candidates'!$B$7)=0,1,MIN(1,Candidates!H157/'Find Candidates'!$B$7)))</f>
        <v/>
      </c>
      <c r="E157" s="140" t="str">
        <f aca="false">IF($B157&lt;&gt;1,"",IF(Candidates!F157='Find Candidates'!$B$6,1,0))</f>
        <v/>
      </c>
      <c r="F157" s="140" t="str">
        <f aca="false">IF($B157&lt;&gt;1,"",IF(Candidates!J157='Find Candidates'!$B$8,1,0))</f>
        <v/>
      </c>
      <c r="G157" s="140" t="str">
        <f aca="false">IF($B157&lt;&gt;1,"",IF(Candidates!K157&lt;=30,1,IF(Candidates!K157&lt;=60,0.5,0)))</f>
        <v/>
      </c>
      <c r="H157" s="140" t="str">
        <f aca="false">IF($B157&lt;&gt;1,"",IF(Candidates!I157&lt;='Find Candidates'!$B$9,1,0))</f>
        <v/>
      </c>
      <c r="I157" s="140" t="n">
        <f aca="false">IF($B157=1,C157*'Find Candidates'!$B$15+D157*'Find Candidates'!$B$16+E157*'Find Candidates'!$B$17+F157*'Find Candidates'!$B$18+G157*'Find Candidates'!$B$19+H157*'Find Candidates'!$B$20,0)</f>
        <v>0</v>
      </c>
      <c r="J157" s="140" t="str">
        <f aca="false">IF(AND($B157=1,I157&gt;0),I157-ROW()/10^8,"")</f>
        <v/>
      </c>
    </row>
    <row r="158" customFormat="false" ht="15" hidden="false" customHeight="false" outlineLevel="0" collapsed="false">
      <c r="A158" s="140" t="str">
        <f aca="false">IF(Candidates!A158="","",Candidates!A158)</f>
        <v/>
      </c>
      <c r="B158" s="140" t="str">
        <f aca="false">IF(Candidates!A158="","",IF(AND(Candidates!M158&lt;&gt;"Hired",Candidates!N158&lt;&gt;"Do Not Contact",Candidates!Q158="Yes"),1,0))</f>
        <v/>
      </c>
      <c r="C158" s="140" t="str">
        <f aca="false">IF($B158&lt;&gt;1,"",IF('Find Candidates'!$B$11=0,0,SUMPRODUCT(('Find Candidates'!$B$10:$F$10&lt;&gt;"")*ISNUMBER(SEARCH('Find Candidates'!$B$10:$F$10,Candidates!G158)))/'Find Candidates'!$B$11))</f>
        <v/>
      </c>
      <c r="D158" s="140" t="str">
        <f aca="false">IF($B158&lt;&gt;1,"",IF(N('Find Candidates'!$B$7)=0,1,MIN(1,Candidates!H158/'Find Candidates'!$B$7)))</f>
        <v/>
      </c>
      <c r="E158" s="140" t="str">
        <f aca="false">IF($B158&lt;&gt;1,"",IF(Candidates!F158='Find Candidates'!$B$6,1,0))</f>
        <v/>
      </c>
      <c r="F158" s="140" t="str">
        <f aca="false">IF($B158&lt;&gt;1,"",IF(Candidates!J158='Find Candidates'!$B$8,1,0))</f>
        <v/>
      </c>
      <c r="G158" s="140" t="str">
        <f aca="false">IF($B158&lt;&gt;1,"",IF(Candidates!K158&lt;=30,1,IF(Candidates!K158&lt;=60,0.5,0)))</f>
        <v/>
      </c>
      <c r="H158" s="140" t="str">
        <f aca="false">IF($B158&lt;&gt;1,"",IF(Candidates!I158&lt;='Find Candidates'!$B$9,1,0))</f>
        <v/>
      </c>
      <c r="I158" s="140" t="n">
        <f aca="false">IF($B158=1,C158*'Find Candidates'!$B$15+D158*'Find Candidates'!$B$16+E158*'Find Candidates'!$B$17+F158*'Find Candidates'!$B$18+G158*'Find Candidates'!$B$19+H158*'Find Candidates'!$B$20,0)</f>
        <v>0</v>
      </c>
      <c r="J158" s="140" t="str">
        <f aca="false">IF(AND($B158=1,I158&gt;0),I158-ROW()/10^8,"")</f>
        <v/>
      </c>
    </row>
    <row r="159" customFormat="false" ht="15" hidden="false" customHeight="false" outlineLevel="0" collapsed="false">
      <c r="A159" s="140" t="str">
        <f aca="false">IF(Candidates!A159="","",Candidates!A159)</f>
        <v/>
      </c>
      <c r="B159" s="140" t="str">
        <f aca="false">IF(Candidates!A159="","",IF(AND(Candidates!M159&lt;&gt;"Hired",Candidates!N159&lt;&gt;"Do Not Contact",Candidates!Q159="Yes"),1,0))</f>
        <v/>
      </c>
      <c r="C159" s="140" t="str">
        <f aca="false">IF($B159&lt;&gt;1,"",IF('Find Candidates'!$B$11=0,0,SUMPRODUCT(('Find Candidates'!$B$10:$F$10&lt;&gt;"")*ISNUMBER(SEARCH('Find Candidates'!$B$10:$F$10,Candidates!G159)))/'Find Candidates'!$B$11))</f>
        <v/>
      </c>
      <c r="D159" s="140" t="str">
        <f aca="false">IF($B159&lt;&gt;1,"",IF(N('Find Candidates'!$B$7)=0,1,MIN(1,Candidates!H159/'Find Candidates'!$B$7)))</f>
        <v/>
      </c>
      <c r="E159" s="140" t="str">
        <f aca="false">IF($B159&lt;&gt;1,"",IF(Candidates!F159='Find Candidates'!$B$6,1,0))</f>
        <v/>
      </c>
      <c r="F159" s="140" t="str">
        <f aca="false">IF($B159&lt;&gt;1,"",IF(Candidates!J159='Find Candidates'!$B$8,1,0))</f>
        <v/>
      </c>
      <c r="G159" s="140" t="str">
        <f aca="false">IF($B159&lt;&gt;1,"",IF(Candidates!K159&lt;=30,1,IF(Candidates!K159&lt;=60,0.5,0)))</f>
        <v/>
      </c>
      <c r="H159" s="140" t="str">
        <f aca="false">IF($B159&lt;&gt;1,"",IF(Candidates!I159&lt;='Find Candidates'!$B$9,1,0))</f>
        <v/>
      </c>
      <c r="I159" s="140" t="n">
        <f aca="false">IF($B159=1,C159*'Find Candidates'!$B$15+D159*'Find Candidates'!$B$16+E159*'Find Candidates'!$B$17+F159*'Find Candidates'!$B$18+G159*'Find Candidates'!$B$19+H159*'Find Candidates'!$B$20,0)</f>
        <v>0</v>
      </c>
      <c r="J159" s="140" t="str">
        <f aca="false">IF(AND($B159=1,I159&gt;0),I159-ROW()/10^8,"")</f>
        <v/>
      </c>
    </row>
    <row r="160" customFormat="false" ht="15" hidden="false" customHeight="false" outlineLevel="0" collapsed="false">
      <c r="A160" s="140" t="str">
        <f aca="false">IF(Candidates!A160="","",Candidates!A160)</f>
        <v/>
      </c>
      <c r="B160" s="140" t="str">
        <f aca="false">IF(Candidates!A160="","",IF(AND(Candidates!M160&lt;&gt;"Hired",Candidates!N160&lt;&gt;"Do Not Contact",Candidates!Q160="Yes"),1,0))</f>
        <v/>
      </c>
      <c r="C160" s="140" t="str">
        <f aca="false">IF($B160&lt;&gt;1,"",IF('Find Candidates'!$B$11=0,0,SUMPRODUCT(('Find Candidates'!$B$10:$F$10&lt;&gt;"")*ISNUMBER(SEARCH('Find Candidates'!$B$10:$F$10,Candidates!G160)))/'Find Candidates'!$B$11))</f>
        <v/>
      </c>
      <c r="D160" s="140" t="str">
        <f aca="false">IF($B160&lt;&gt;1,"",IF(N('Find Candidates'!$B$7)=0,1,MIN(1,Candidates!H160/'Find Candidates'!$B$7)))</f>
        <v/>
      </c>
      <c r="E160" s="140" t="str">
        <f aca="false">IF($B160&lt;&gt;1,"",IF(Candidates!F160='Find Candidates'!$B$6,1,0))</f>
        <v/>
      </c>
      <c r="F160" s="140" t="str">
        <f aca="false">IF($B160&lt;&gt;1,"",IF(Candidates!J160='Find Candidates'!$B$8,1,0))</f>
        <v/>
      </c>
      <c r="G160" s="140" t="str">
        <f aca="false">IF($B160&lt;&gt;1,"",IF(Candidates!K160&lt;=30,1,IF(Candidates!K160&lt;=60,0.5,0)))</f>
        <v/>
      </c>
      <c r="H160" s="140" t="str">
        <f aca="false">IF($B160&lt;&gt;1,"",IF(Candidates!I160&lt;='Find Candidates'!$B$9,1,0))</f>
        <v/>
      </c>
      <c r="I160" s="140" t="n">
        <f aca="false">IF($B160=1,C160*'Find Candidates'!$B$15+D160*'Find Candidates'!$B$16+E160*'Find Candidates'!$B$17+F160*'Find Candidates'!$B$18+G160*'Find Candidates'!$B$19+H160*'Find Candidates'!$B$20,0)</f>
        <v>0</v>
      </c>
      <c r="J160" s="140" t="str">
        <f aca="false">IF(AND($B160=1,I160&gt;0),I160-ROW()/10^8,"")</f>
        <v/>
      </c>
    </row>
    <row r="161" customFormat="false" ht="15" hidden="false" customHeight="false" outlineLevel="0" collapsed="false">
      <c r="A161" s="140" t="str">
        <f aca="false">IF(Candidates!A161="","",Candidates!A161)</f>
        <v/>
      </c>
      <c r="B161" s="140" t="str">
        <f aca="false">IF(Candidates!A161="","",IF(AND(Candidates!M161&lt;&gt;"Hired",Candidates!N161&lt;&gt;"Do Not Contact",Candidates!Q161="Yes"),1,0))</f>
        <v/>
      </c>
      <c r="C161" s="140" t="str">
        <f aca="false">IF($B161&lt;&gt;1,"",IF('Find Candidates'!$B$11=0,0,SUMPRODUCT(('Find Candidates'!$B$10:$F$10&lt;&gt;"")*ISNUMBER(SEARCH('Find Candidates'!$B$10:$F$10,Candidates!G161)))/'Find Candidates'!$B$11))</f>
        <v/>
      </c>
      <c r="D161" s="140" t="str">
        <f aca="false">IF($B161&lt;&gt;1,"",IF(N('Find Candidates'!$B$7)=0,1,MIN(1,Candidates!H161/'Find Candidates'!$B$7)))</f>
        <v/>
      </c>
      <c r="E161" s="140" t="str">
        <f aca="false">IF($B161&lt;&gt;1,"",IF(Candidates!F161='Find Candidates'!$B$6,1,0))</f>
        <v/>
      </c>
      <c r="F161" s="140" t="str">
        <f aca="false">IF($B161&lt;&gt;1,"",IF(Candidates!J161='Find Candidates'!$B$8,1,0))</f>
        <v/>
      </c>
      <c r="G161" s="140" t="str">
        <f aca="false">IF($B161&lt;&gt;1,"",IF(Candidates!K161&lt;=30,1,IF(Candidates!K161&lt;=60,0.5,0)))</f>
        <v/>
      </c>
      <c r="H161" s="140" t="str">
        <f aca="false">IF($B161&lt;&gt;1,"",IF(Candidates!I161&lt;='Find Candidates'!$B$9,1,0))</f>
        <v/>
      </c>
      <c r="I161" s="140" t="n">
        <f aca="false">IF($B161=1,C161*'Find Candidates'!$B$15+D161*'Find Candidates'!$B$16+E161*'Find Candidates'!$B$17+F161*'Find Candidates'!$B$18+G161*'Find Candidates'!$B$19+H161*'Find Candidates'!$B$20,0)</f>
        <v>0</v>
      </c>
      <c r="J161" s="140" t="str">
        <f aca="false">IF(AND($B161=1,I161&gt;0),I161-ROW()/10^8,"")</f>
        <v/>
      </c>
    </row>
    <row r="162" customFormat="false" ht="15" hidden="false" customHeight="false" outlineLevel="0" collapsed="false">
      <c r="A162" s="140" t="str">
        <f aca="false">IF(Candidates!A162="","",Candidates!A162)</f>
        <v/>
      </c>
      <c r="B162" s="140" t="str">
        <f aca="false">IF(Candidates!A162="","",IF(AND(Candidates!M162&lt;&gt;"Hired",Candidates!N162&lt;&gt;"Do Not Contact",Candidates!Q162="Yes"),1,0))</f>
        <v/>
      </c>
      <c r="C162" s="140" t="str">
        <f aca="false">IF($B162&lt;&gt;1,"",IF('Find Candidates'!$B$11=0,0,SUMPRODUCT(('Find Candidates'!$B$10:$F$10&lt;&gt;"")*ISNUMBER(SEARCH('Find Candidates'!$B$10:$F$10,Candidates!G162)))/'Find Candidates'!$B$11))</f>
        <v/>
      </c>
      <c r="D162" s="140" t="str">
        <f aca="false">IF($B162&lt;&gt;1,"",IF(N('Find Candidates'!$B$7)=0,1,MIN(1,Candidates!H162/'Find Candidates'!$B$7)))</f>
        <v/>
      </c>
      <c r="E162" s="140" t="str">
        <f aca="false">IF($B162&lt;&gt;1,"",IF(Candidates!F162='Find Candidates'!$B$6,1,0))</f>
        <v/>
      </c>
      <c r="F162" s="140" t="str">
        <f aca="false">IF($B162&lt;&gt;1,"",IF(Candidates!J162='Find Candidates'!$B$8,1,0))</f>
        <v/>
      </c>
      <c r="G162" s="140" t="str">
        <f aca="false">IF($B162&lt;&gt;1,"",IF(Candidates!K162&lt;=30,1,IF(Candidates!K162&lt;=60,0.5,0)))</f>
        <v/>
      </c>
      <c r="H162" s="140" t="str">
        <f aca="false">IF($B162&lt;&gt;1,"",IF(Candidates!I162&lt;='Find Candidates'!$B$9,1,0))</f>
        <v/>
      </c>
      <c r="I162" s="140" t="n">
        <f aca="false">IF($B162=1,C162*'Find Candidates'!$B$15+D162*'Find Candidates'!$B$16+E162*'Find Candidates'!$B$17+F162*'Find Candidates'!$B$18+G162*'Find Candidates'!$B$19+H162*'Find Candidates'!$B$20,0)</f>
        <v>0</v>
      </c>
      <c r="J162" s="140" t="str">
        <f aca="false">IF(AND($B162=1,I162&gt;0),I162-ROW()/10^8,"")</f>
        <v/>
      </c>
    </row>
    <row r="163" customFormat="false" ht="15" hidden="false" customHeight="false" outlineLevel="0" collapsed="false">
      <c r="A163" s="140" t="str">
        <f aca="false">IF(Candidates!A163="","",Candidates!A163)</f>
        <v/>
      </c>
      <c r="B163" s="140" t="str">
        <f aca="false">IF(Candidates!A163="","",IF(AND(Candidates!M163&lt;&gt;"Hired",Candidates!N163&lt;&gt;"Do Not Contact",Candidates!Q163="Yes"),1,0))</f>
        <v/>
      </c>
      <c r="C163" s="140" t="str">
        <f aca="false">IF($B163&lt;&gt;1,"",IF('Find Candidates'!$B$11=0,0,SUMPRODUCT(('Find Candidates'!$B$10:$F$10&lt;&gt;"")*ISNUMBER(SEARCH('Find Candidates'!$B$10:$F$10,Candidates!G163)))/'Find Candidates'!$B$11))</f>
        <v/>
      </c>
      <c r="D163" s="140" t="str">
        <f aca="false">IF($B163&lt;&gt;1,"",IF(N('Find Candidates'!$B$7)=0,1,MIN(1,Candidates!H163/'Find Candidates'!$B$7)))</f>
        <v/>
      </c>
      <c r="E163" s="140" t="str">
        <f aca="false">IF($B163&lt;&gt;1,"",IF(Candidates!F163='Find Candidates'!$B$6,1,0))</f>
        <v/>
      </c>
      <c r="F163" s="140" t="str">
        <f aca="false">IF($B163&lt;&gt;1,"",IF(Candidates!J163='Find Candidates'!$B$8,1,0))</f>
        <v/>
      </c>
      <c r="G163" s="140" t="str">
        <f aca="false">IF($B163&lt;&gt;1,"",IF(Candidates!K163&lt;=30,1,IF(Candidates!K163&lt;=60,0.5,0)))</f>
        <v/>
      </c>
      <c r="H163" s="140" t="str">
        <f aca="false">IF($B163&lt;&gt;1,"",IF(Candidates!I163&lt;='Find Candidates'!$B$9,1,0))</f>
        <v/>
      </c>
      <c r="I163" s="140" t="n">
        <f aca="false">IF($B163=1,C163*'Find Candidates'!$B$15+D163*'Find Candidates'!$B$16+E163*'Find Candidates'!$B$17+F163*'Find Candidates'!$B$18+G163*'Find Candidates'!$B$19+H163*'Find Candidates'!$B$20,0)</f>
        <v>0</v>
      </c>
      <c r="J163" s="140" t="str">
        <f aca="false">IF(AND($B163=1,I163&gt;0),I163-ROW()/10^8,"")</f>
        <v/>
      </c>
    </row>
    <row r="164" customFormat="false" ht="15" hidden="false" customHeight="false" outlineLevel="0" collapsed="false">
      <c r="A164" s="140" t="str">
        <f aca="false">IF(Candidates!A164="","",Candidates!A164)</f>
        <v/>
      </c>
      <c r="B164" s="140" t="str">
        <f aca="false">IF(Candidates!A164="","",IF(AND(Candidates!M164&lt;&gt;"Hired",Candidates!N164&lt;&gt;"Do Not Contact",Candidates!Q164="Yes"),1,0))</f>
        <v/>
      </c>
      <c r="C164" s="140" t="str">
        <f aca="false">IF($B164&lt;&gt;1,"",IF('Find Candidates'!$B$11=0,0,SUMPRODUCT(('Find Candidates'!$B$10:$F$10&lt;&gt;"")*ISNUMBER(SEARCH('Find Candidates'!$B$10:$F$10,Candidates!G164)))/'Find Candidates'!$B$11))</f>
        <v/>
      </c>
      <c r="D164" s="140" t="str">
        <f aca="false">IF($B164&lt;&gt;1,"",IF(N('Find Candidates'!$B$7)=0,1,MIN(1,Candidates!H164/'Find Candidates'!$B$7)))</f>
        <v/>
      </c>
      <c r="E164" s="140" t="str">
        <f aca="false">IF($B164&lt;&gt;1,"",IF(Candidates!F164='Find Candidates'!$B$6,1,0))</f>
        <v/>
      </c>
      <c r="F164" s="140" t="str">
        <f aca="false">IF($B164&lt;&gt;1,"",IF(Candidates!J164='Find Candidates'!$B$8,1,0))</f>
        <v/>
      </c>
      <c r="G164" s="140" t="str">
        <f aca="false">IF($B164&lt;&gt;1,"",IF(Candidates!K164&lt;=30,1,IF(Candidates!K164&lt;=60,0.5,0)))</f>
        <v/>
      </c>
      <c r="H164" s="140" t="str">
        <f aca="false">IF($B164&lt;&gt;1,"",IF(Candidates!I164&lt;='Find Candidates'!$B$9,1,0))</f>
        <v/>
      </c>
      <c r="I164" s="140" t="n">
        <f aca="false">IF($B164=1,C164*'Find Candidates'!$B$15+D164*'Find Candidates'!$B$16+E164*'Find Candidates'!$B$17+F164*'Find Candidates'!$B$18+G164*'Find Candidates'!$B$19+H164*'Find Candidates'!$B$20,0)</f>
        <v>0</v>
      </c>
      <c r="J164" s="140" t="str">
        <f aca="false">IF(AND($B164=1,I164&gt;0),I164-ROW()/10^8,"")</f>
        <v/>
      </c>
    </row>
    <row r="165" customFormat="false" ht="15" hidden="false" customHeight="false" outlineLevel="0" collapsed="false">
      <c r="A165" s="140" t="str">
        <f aca="false">IF(Candidates!A165="","",Candidates!A165)</f>
        <v/>
      </c>
      <c r="B165" s="140" t="str">
        <f aca="false">IF(Candidates!A165="","",IF(AND(Candidates!M165&lt;&gt;"Hired",Candidates!N165&lt;&gt;"Do Not Contact",Candidates!Q165="Yes"),1,0))</f>
        <v/>
      </c>
      <c r="C165" s="140" t="str">
        <f aca="false">IF($B165&lt;&gt;1,"",IF('Find Candidates'!$B$11=0,0,SUMPRODUCT(('Find Candidates'!$B$10:$F$10&lt;&gt;"")*ISNUMBER(SEARCH('Find Candidates'!$B$10:$F$10,Candidates!G165)))/'Find Candidates'!$B$11))</f>
        <v/>
      </c>
      <c r="D165" s="140" t="str">
        <f aca="false">IF($B165&lt;&gt;1,"",IF(N('Find Candidates'!$B$7)=0,1,MIN(1,Candidates!H165/'Find Candidates'!$B$7)))</f>
        <v/>
      </c>
      <c r="E165" s="140" t="str">
        <f aca="false">IF($B165&lt;&gt;1,"",IF(Candidates!F165='Find Candidates'!$B$6,1,0))</f>
        <v/>
      </c>
      <c r="F165" s="140" t="str">
        <f aca="false">IF($B165&lt;&gt;1,"",IF(Candidates!J165='Find Candidates'!$B$8,1,0))</f>
        <v/>
      </c>
      <c r="G165" s="140" t="str">
        <f aca="false">IF($B165&lt;&gt;1,"",IF(Candidates!K165&lt;=30,1,IF(Candidates!K165&lt;=60,0.5,0)))</f>
        <v/>
      </c>
      <c r="H165" s="140" t="str">
        <f aca="false">IF($B165&lt;&gt;1,"",IF(Candidates!I165&lt;='Find Candidates'!$B$9,1,0))</f>
        <v/>
      </c>
      <c r="I165" s="140" t="n">
        <f aca="false">IF($B165=1,C165*'Find Candidates'!$B$15+D165*'Find Candidates'!$B$16+E165*'Find Candidates'!$B$17+F165*'Find Candidates'!$B$18+G165*'Find Candidates'!$B$19+H165*'Find Candidates'!$B$20,0)</f>
        <v>0</v>
      </c>
      <c r="J165" s="140" t="str">
        <f aca="false">IF(AND($B165=1,I165&gt;0),I165-ROW()/10^8,"")</f>
        <v/>
      </c>
    </row>
    <row r="166" customFormat="false" ht="15" hidden="false" customHeight="false" outlineLevel="0" collapsed="false">
      <c r="A166" s="140" t="str">
        <f aca="false">IF(Candidates!A166="","",Candidates!A166)</f>
        <v/>
      </c>
      <c r="B166" s="140" t="str">
        <f aca="false">IF(Candidates!A166="","",IF(AND(Candidates!M166&lt;&gt;"Hired",Candidates!N166&lt;&gt;"Do Not Contact",Candidates!Q166="Yes"),1,0))</f>
        <v/>
      </c>
      <c r="C166" s="140" t="str">
        <f aca="false">IF($B166&lt;&gt;1,"",IF('Find Candidates'!$B$11=0,0,SUMPRODUCT(('Find Candidates'!$B$10:$F$10&lt;&gt;"")*ISNUMBER(SEARCH('Find Candidates'!$B$10:$F$10,Candidates!G166)))/'Find Candidates'!$B$11))</f>
        <v/>
      </c>
      <c r="D166" s="140" t="str">
        <f aca="false">IF($B166&lt;&gt;1,"",IF(N('Find Candidates'!$B$7)=0,1,MIN(1,Candidates!H166/'Find Candidates'!$B$7)))</f>
        <v/>
      </c>
      <c r="E166" s="140" t="str">
        <f aca="false">IF($B166&lt;&gt;1,"",IF(Candidates!F166='Find Candidates'!$B$6,1,0))</f>
        <v/>
      </c>
      <c r="F166" s="140" t="str">
        <f aca="false">IF($B166&lt;&gt;1,"",IF(Candidates!J166='Find Candidates'!$B$8,1,0))</f>
        <v/>
      </c>
      <c r="G166" s="140" t="str">
        <f aca="false">IF($B166&lt;&gt;1,"",IF(Candidates!K166&lt;=30,1,IF(Candidates!K166&lt;=60,0.5,0)))</f>
        <v/>
      </c>
      <c r="H166" s="140" t="str">
        <f aca="false">IF($B166&lt;&gt;1,"",IF(Candidates!I166&lt;='Find Candidates'!$B$9,1,0))</f>
        <v/>
      </c>
      <c r="I166" s="140" t="n">
        <f aca="false">IF($B166=1,C166*'Find Candidates'!$B$15+D166*'Find Candidates'!$B$16+E166*'Find Candidates'!$B$17+F166*'Find Candidates'!$B$18+G166*'Find Candidates'!$B$19+H166*'Find Candidates'!$B$20,0)</f>
        <v>0</v>
      </c>
      <c r="J166" s="140" t="str">
        <f aca="false">IF(AND($B166=1,I166&gt;0),I166-ROW()/10^8,"")</f>
        <v/>
      </c>
    </row>
    <row r="167" customFormat="false" ht="15" hidden="false" customHeight="false" outlineLevel="0" collapsed="false">
      <c r="A167" s="140" t="str">
        <f aca="false">IF(Candidates!A167="","",Candidates!A167)</f>
        <v/>
      </c>
      <c r="B167" s="140" t="str">
        <f aca="false">IF(Candidates!A167="","",IF(AND(Candidates!M167&lt;&gt;"Hired",Candidates!N167&lt;&gt;"Do Not Contact",Candidates!Q167="Yes"),1,0))</f>
        <v/>
      </c>
      <c r="C167" s="140" t="str">
        <f aca="false">IF($B167&lt;&gt;1,"",IF('Find Candidates'!$B$11=0,0,SUMPRODUCT(('Find Candidates'!$B$10:$F$10&lt;&gt;"")*ISNUMBER(SEARCH('Find Candidates'!$B$10:$F$10,Candidates!G167)))/'Find Candidates'!$B$11))</f>
        <v/>
      </c>
      <c r="D167" s="140" t="str">
        <f aca="false">IF($B167&lt;&gt;1,"",IF(N('Find Candidates'!$B$7)=0,1,MIN(1,Candidates!H167/'Find Candidates'!$B$7)))</f>
        <v/>
      </c>
      <c r="E167" s="140" t="str">
        <f aca="false">IF($B167&lt;&gt;1,"",IF(Candidates!F167='Find Candidates'!$B$6,1,0))</f>
        <v/>
      </c>
      <c r="F167" s="140" t="str">
        <f aca="false">IF($B167&lt;&gt;1,"",IF(Candidates!J167='Find Candidates'!$B$8,1,0))</f>
        <v/>
      </c>
      <c r="G167" s="140" t="str">
        <f aca="false">IF($B167&lt;&gt;1,"",IF(Candidates!K167&lt;=30,1,IF(Candidates!K167&lt;=60,0.5,0)))</f>
        <v/>
      </c>
      <c r="H167" s="140" t="str">
        <f aca="false">IF($B167&lt;&gt;1,"",IF(Candidates!I167&lt;='Find Candidates'!$B$9,1,0))</f>
        <v/>
      </c>
      <c r="I167" s="140" t="n">
        <f aca="false">IF($B167=1,C167*'Find Candidates'!$B$15+D167*'Find Candidates'!$B$16+E167*'Find Candidates'!$B$17+F167*'Find Candidates'!$B$18+G167*'Find Candidates'!$B$19+H167*'Find Candidates'!$B$20,0)</f>
        <v>0</v>
      </c>
      <c r="J167" s="140" t="str">
        <f aca="false">IF(AND($B167=1,I167&gt;0),I167-ROW()/10^8,"")</f>
        <v/>
      </c>
    </row>
    <row r="168" customFormat="false" ht="15" hidden="false" customHeight="false" outlineLevel="0" collapsed="false">
      <c r="A168" s="140" t="str">
        <f aca="false">IF(Candidates!A168="","",Candidates!A168)</f>
        <v/>
      </c>
      <c r="B168" s="140" t="str">
        <f aca="false">IF(Candidates!A168="","",IF(AND(Candidates!M168&lt;&gt;"Hired",Candidates!N168&lt;&gt;"Do Not Contact",Candidates!Q168="Yes"),1,0))</f>
        <v/>
      </c>
      <c r="C168" s="140" t="str">
        <f aca="false">IF($B168&lt;&gt;1,"",IF('Find Candidates'!$B$11=0,0,SUMPRODUCT(('Find Candidates'!$B$10:$F$10&lt;&gt;"")*ISNUMBER(SEARCH('Find Candidates'!$B$10:$F$10,Candidates!G168)))/'Find Candidates'!$B$11))</f>
        <v/>
      </c>
      <c r="D168" s="140" t="str">
        <f aca="false">IF($B168&lt;&gt;1,"",IF(N('Find Candidates'!$B$7)=0,1,MIN(1,Candidates!H168/'Find Candidates'!$B$7)))</f>
        <v/>
      </c>
      <c r="E168" s="140" t="str">
        <f aca="false">IF($B168&lt;&gt;1,"",IF(Candidates!F168='Find Candidates'!$B$6,1,0))</f>
        <v/>
      </c>
      <c r="F168" s="140" t="str">
        <f aca="false">IF($B168&lt;&gt;1,"",IF(Candidates!J168='Find Candidates'!$B$8,1,0))</f>
        <v/>
      </c>
      <c r="G168" s="140" t="str">
        <f aca="false">IF($B168&lt;&gt;1,"",IF(Candidates!K168&lt;=30,1,IF(Candidates!K168&lt;=60,0.5,0)))</f>
        <v/>
      </c>
      <c r="H168" s="140" t="str">
        <f aca="false">IF($B168&lt;&gt;1,"",IF(Candidates!I168&lt;='Find Candidates'!$B$9,1,0))</f>
        <v/>
      </c>
      <c r="I168" s="140" t="n">
        <f aca="false">IF($B168=1,C168*'Find Candidates'!$B$15+D168*'Find Candidates'!$B$16+E168*'Find Candidates'!$B$17+F168*'Find Candidates'!$B$18+G168*'Find Candidates'!$B$19+H168*'Find Candidates'!$B$20,0)</f>
        <v>0</v>
      </c>
      <c r="J168" s="140" t="str">
        <f aca="false">IF(AND($B168=1,I168&gt;0),I168-ROW()/10^8,"")</f>
        <v/>
      </c>
    </row>
    <row r="169" customFormat="false" ht="15" hidden="false" customHeight="false" outlineLevel="0" collapsed="false">
      <c r="A169" s="140" t="str">
        <f aca="false">IF(Candidates!A169="","",Candidates!A169)</f>
        <v/>
      </c>
      <c r="B169" s="140" t="str">
        <f aca="false">IF(Candidates!A169="","",IF(AND(Candidates!M169&lt;&gt;"Hired",Candidates!N169&lt;&gt;"Do Not Contact",Candidates!Q169="Yes"),1,0))</f>
        <v/>
      </c>
      <c r="C169" s="140" t="str">
        <f aca="false">IF($B169&lt;&gt;1,"",IF('Find Candidates'!$B$11=0,0,SUMPRODUCT(('Find Candidates'!$B$10:$F$10&lt;&gt;"")*ISNUMBER(SEARCH('Find Candidates'!$B$10:$F$10,Candidates!G169)))/'Find Candidates'!$B$11))</f>
        <v/>
      </c>
      <c r="D169" s="140" t="str">
        <f aca="false">IF($B169&lt;&gt;1,"",IF(N('Find Candidates'!$B$7)=0,1,MIN(1,Candidates!H169/'Find Candidates'!$B$7)))</f>
        <v/>
      </c>
      <c r="E169" s="140" t="str">
        <f aca="false">IF($B169&lt;&gt;1,"",IF(Candidates!F169='Find Candidates'!$B$6,1,0))</f>
        <v/>
      </c>
      <c r="F169" s="140" t="str">
        <f aca="false">IF($B169&lt;&gt;1,"",IF(Candidates!J169='Find Candidates'!$B$8,1,0))</f>
        <v/>
      </c>
      <c r="G169" s="140" t="str">
        <f aca="false">IF($B169&lt;&gt;1,"",IF(Candidates!K169&lt;=30,1,IF(Candidates!K169&lt;=60,0.5,0)))</f>
        <v/>
      </c>
      <c r="H169" s="140" t="str">
        <f aca="false">IF($B169&lt;&gt;1,"",IF(Candidates!I169&lt;='Find Candidates'!$B$9,1,0))</f>
        <v/>
      </c>
      <c r="I169" s="140" t="n">
        <f aca="false">IF($B169=1,C169*'Find Candidates'!$B$15+D169*'Find Candidates'!$B$16+E169*'Find Candidates'!$B$17+F169*'Find Candidates'!$B$18+G169*'Find Candidates'!$B$19+H169*'Find Candidates'!$B$20,0)</f>
        <v>0</v>
      </c>
      <c r="J169" s="140" t="str">
        <f aca="false">IF(AND($B169=1,I169&gt;0),I169-ROW()/10^8,"")</f>
        <v/>
      </c>
    </row>
    <row r="170" customFormat="false" ht="15" hidden="false" customHeight="false" outlineLevel="0" collapsed="false">
      <c r="A170" s="140" t="str">
        <f aca="false">IF(Candidates!A170="","",Candidates!A170)</f>
        <v/>
      </c>
      <c r="B170" s="140" t="str">
        <f aca="false">IF(Candidates!A170="","",IF(AND(Candidates!M170&lt;&gt;"Hired",Candidates!N170&lt;&gt;"Do Not Contact",Candidates!Q170="Yes"),1,0))</f>
        <v/>
      </c>
      <c r="C170" s="140" t="str">
        <f aca="false">IF($B170&lt;&gt;1,"",IF('Find Candidates'!$B$11=0,0,SUMPRODUCT(('Find Candidates'!$B$10:$F$10&lt;&gt;"")*ISNUMBER(SEARCH('Find Candidates'!$B$10:$F$10,Candidates!G170)))/'Find Candidates'!$B$11))</f>
        <v/>
      </c>
      <c r="D170" s="140" t="str">
        <f aca="false">IF($B170&lt;&gt;1,"",IF(N('Find Candidates'!$B$7)=0,1,MIN(1,Candidates!H170/'Find Candidates'!$B$7)))</f>
        <v/>
      </c>
      <c r="E170" s="140" t="str">
        <f aca="false">IF($B170&lt;&gt;1,"",IF(Candidates!F170='Find Candidates'!$B$6,1,0))</f>
        <v/>
      </c>
      <c r="F170" s="140" t="str">
        <f aca="false">IF($B170&lt;&gt;1,"",IF(Candidates!J170='Find Candidates'!$B$8,1,0))</f>
        <v/>
      </c>
      <c r="G170" s="140" t="str">
        <f aca="false">IF($B170&lt;&gt;1,"",IF(Candidates!K170&lt;=30,1,IF(Candidates!K170&lt;=60,0.5,0)))</f>
        <v/>
      </c>
      <c r="H170" s="140" t="str">
        <f aca="false">IF($B170&lt;&gt;1,"",IF(Candidates!I170&lt;='Find Candidates'!$B$9,1,0))</f>
        <v/>
      </c>
      <c r="I170" s="140" t="n">
        <f aca="false">IF($B170=1,C170*'Find Candidates'!$B$15+D170*'Find Candidates'!$B$16+E170*'Find Candidates'!$B$17+F170*'Find Candidates'!$B$18+G170*'Find Candidates'!$B$19+H170*'Find Candidates'!$B$20,0)</f>
        <v>0</v>
      </c>
      <c r="J170" s="140" t="str">
        <f aca="false">IF(AND($B170=1,I170&gt;0),I170-ROW()/10^8,"")</f>
        <v/>
      </c>
    </row>
    <row r="171" customFormat="false" ht="15" hidden="false" customHeight="false" outlineLevel="0" collapsed="false">
      <c r="A171" s="140" t="str">
        <f aca="false">IF(Candidates!A171="","",Candidates!A171)</f>
        <v/>
      </c>
      <c r="B171" s="140" t="str">
        <f aca="false">IF(Candidates!A171="","",IF(AND(Candidates!M171&lt;&gt;"Hired",Candidates!N171&lt;&gt;"Do Not Contact",Candidates!Q171="Yes"),1,0))</f>
        <v/>
      </c>
      <c r="C171" s="140" t="str">
        <f aca="false">IF($B171&lt;&gt;1,"",IF('Find Candidates'!$B$11=0,0,SUMPRODUCT(('Find Candidates'!$B$10:$F$10&lt;&gt;"")*ISNUMBER(SEARCH('Find Candidates'!$B$10:$F$10,Candidates!G171)))/'Find Candidates'!$B$11))</f>
        <v/>
      </c>
      <c r="D171" s="140" t="str">
        <f aca="false">IF($B171&lt;&gt;1,"",IF(N('Find Candidates'!$B$7)=0,1,MIN(1,Candidates!H171/'Find Candidates'!$B$7)))</f>
        <v/>
      </c>
      <c r="E171" s="140" t="str">
        <f aca="false">IF($B171&lt;&gt;1,"",IF(Candidates!F171='Find Candidates'!$B$6,1,0))</f>
        <v/>
      </c>
      <c r="F171" s="140" t="str">
        <f aca="false">IF($B171&lt;&gt;1,"",IF(Candidates!J171='Find Candidates'!$B$8,1,0))</f>
        <v/>
      </c>
      <c r="G171" s="140" t="str">
        <f aca="false">IF($B171&lt;&gt;1,"",IF(Candidates!K171&lt;=30,1,IF(Candidates!K171&lt;=60,0.5,0)))</f>
        <v/>
      </c>
      <c r="H171" s="140" t="str">
        <f aca="false">IF($B171&lt;&gt;1,"",IF(Candidates!I171&lt;='Find Candidates'!$B$9,1,0))</f>
        <v/>
      </c>
      <c r="I171" s="140" t="n">
        <f aca="false">IF($B171=1,C171*'Find Candidates'!$B$15+D171*'Find Candidates'!$B$16+E171*'Find Candidates'!$B$17+F171*'Find Candidates'!$B$18+G171*'Find Candidates'!$B$19+H171*'Find Candidates'!$B$20,0)</f>
        <v>0</v>
      </c>
      <c r="J171" s="140" t="str">
        <f aca="false">IF(AND($B171=1,I171&gt;0),I171-ROW()/10^8,"")</f>
        <v/>
      </c>
    </row>
    <row r="172" customFormat="false" ht="15" hidden="false" customHeight="false" outlineLevel="0" collapsed="false">
      <c r="A172" s="140" t="str">
        <f aca="false">IF(Candidates!A172="","",Candidates!A172)</f>
        <v/>
      </c>
      <c r="B172" s="140" t="str">
        <f aca="false">IF(Candidates!A172="","",IF(AND(Candidates!M172&lt;&gt;"Hired",Candidates!N172&lt;&gt;"Do Not Contact",Candidates!Q172="Yes"),1,0))</f>
        <v/>
      </c>
      <c r="C172" s="140" t="str">
        <f aca="false">IF($B172&lt;&gt;1,"",IF('Find Candidates'!$B$11=0,0,SUMPRODUCT(('Find Candidates'!$B$10:$F$10&lt;&gt;"")*ISNUMBER(SEARCH('Find Candidates'!$B$10:$F$10,Candidates!G172)))/'Find Candidates'!$B$11))</f>
        <v/>
      </c>
      <c r="D172" s="140" t="str">
        <f aca="false">IF($B172&lt;&gt;1,"",IF(N('Find Candidates'!$B$7)=0,1,MIN(1,Candidates!H172/'Find Candidates'!$B$7)))</f>
        <v/>
      </c>
      <c r="E172" s="140" t="str">
        <f aca="false">IF($B172&lt;&gt;1,"",IF(Candidates!F172='Find Candidates'!$B$6,1,0))</f>
        <v/>
      </c>
      <c r="F172" s="140" t="str">
        <f aca="false">IF($B172&lt;&gt;1,"",IF(Candidates!J172='Find Candidates'!$B$8,1,0))</f>
        <v/>
      </c>
      <c r="G172" s="140" t="str">
        <f aca="false">IF($B172&lt;&gt;1,"",IF(Candidates!K172&lt;=30,1,IF(Candidates!K172&lt;=60,0.5,0)))</f>
        <v/>
      </c>
      <c r="H172" s="140" t="str">
        <f aca="false">IF($B172&lt;&gt;1,"",IF(Candidates!I172&lt;='Find Candidates'!$B$9,1,0))</f>
        <v/>
      </c>
      <c r="I172" s="140" t="n">
        <f aca="false">IF($B172=1,C172*'Find Candidates'!$B$15+D172*'Find Candidates'!$B$16+E172*'Find Candidates'!$B$17+F172*'Find Candidates'!$B$18+G172*'Find Candidates'!$B$19+H172*'Find Candidates'!$B$20,0)</f>
        <v>0</v>
      </c>
      <c r="J172" s="140" t="str">
        <f aca="false">IF(AND($B172=1,I172&gt;0),I172-ROW()/10^8,"")</f>
        <v/>
      </c>
    </row>
    <row r="173" customFormat="false" ht="15" hidden="false" customHeight="false" outlineLevel="0" collapsed="false">
      <c r="A173" s="140" t="str">
        <f aca="false">IF(Candidates!A173="","",Candidates!A173)</f>
        <v/>
      </c>
      <c r="B173" s="140" t="str">
        <f aca="false">IF(Candidates!A173="","",IF(AND(Candidates!M173&lt;&gt;"Hired",Candidates!N173&lt;&gt;"Do Not Contact",Candidates!Q173="Yes"),1,0))</f>
        <v/>
      </c>
      <c r="C173" s="140" t="str">
        <f aca="false">IF($B173&lt;&gt;1,"",IF('Find Candidates'!$B$11=0,0,SUMPRODUCT(('Find Candidates'!$B$10:$F$10&lt;&gt;"")*ISNUMBER(SEARCH('Find Candidates'!$B$10:$F$10,Candidates!G173)))/'Find Candidates'!$B$11))</f>
        <v/>
      </c>
      <c r="D173" s="140" t="str">
        <f aca="false">IF($B173&lt;&gt;1,"",IF(N('Find Candidates'!$B$7)=0,1,MIN(1,Candidates!H173/'Find Candidates'!$B$7)))</f>
        <v/>
      </c>
      <c r="E173" s="140" t="str">
        <f aca="false">IF($B173&lt;&gt;1,"",IF(Candidates!F173='Find Candidates'!$B$6,1,0))</f>
        <v/>
      </c>
      <c r="F173" s="140" t="str">
        <f aca="false">IF($B173&lt;&gt;1,"",IF(Candidates!J173='Find Candidates'!$B$8,1,0))</f>
        <v/>
      </c>
      <c r="G173" s="140" t="str">
        <f aca="false">IF($B173&lt;&gt;1,"",IF(Candidates!K173&lt;=30,1,IF(Candidates!K173&lt;=60,0.5,0)))</f>
        <v/>
      </c>
      <c r="H173" s="140" t="str">
        <f aca="false">IF($B173&lt;&gt;1,"",IF(Candidates!I173&lt;='Find Candidates'!$B$9,1,0))</f>
        <v/>
      </c>
      <c r="I173" s="140" t="n">
        <f aca="false">IF($B173=1,C173*'Find Candidates'!$B$15+D173*'Find Candidates'!$B$16+E173*'Find Candidates'!$B$17+F173*'Find Candidates'!$B$18+G173*'Find Candidates'!$B$19+H173*'Find Candidates'!$B$20,0)</f>
        <v>0</v>
      </c>
      <c r="J173" s="140" t="str">
        <f aca="false">IF(AND($B173=1,I173&gt;0),I173-ROW()/10^8,"")</f>
        <v/>
      </c>
    </row>
    <row r="174" customFormat="false" ht="15" hidden="false" customHeight="false" outlineLevel="0" collapsed="false">
      <c r="A174" s="140" t="str">
        <f aca="false">IF(Candidates!A174="","",Candidates!A174)</f>
        <v/>
      </c>
      <c r="B174" s="140" t="str">
        <f aca="false">IF(Candidates!A174="","",IF(AND(Candidates!M174&lt;&gt;"Hired",Candidates!N174&lt;&gt;"Do Not Contact",Candidates!Q174="Yes"),1,0))</f>
        <v/>
      </c>
      <c r="C174" s="140" t="str">
        <f aca="false">IF($B174&lt;&gt;1,"",IF('Find Candidates'!$B$11=0,0,SUMPRODUCT(('Find Candidates'!$B$10:$F$10&lt;&gt;"")*ISNUMBER(SEARCH('Find Candidates'!$B$10:$F$10,Candidates!G174)))/'Find Candidates'!$B$11))</f>
        <v/>
      </c>
      <c r="D174" s="140" t="str">
        <f aca="false">IF($B174&lt;&gt;1,"",IF(N('Find Candidates'!$B$7)=0,1,MIN(1,Candidates!H174/'Find Candidates'!$B$7)))</f>
        <v/>
      </c>
      <c r="E174" s="140" t="str">
        <f aca="false">IF($B174&lt;&gt;1,"",IF(Candidates!F174='Find Candidates'!$B$6,1,0))</f>
        <v/>
      </c>
      <c r="F174" s="140" t="str">
        <f aca="false">IF($B174&lt;&gt;1,"",IF(Candidates!J174='Find Candidates'!$B$8,1,0))</f>
        <v/>
      </c>
      <c r="G174" s="140" t="str">
        <f aca="false">IF($B174&lt;&gt;1,"",IF(Candidates!K174&lt;=30,1,IF(Candidates!K174&lt;=60,0.5,0)))</f>
        <v/>
      </c>
      <c r="H174" s="140" t="str">
        <f aca="false">IF($B174&lt;&gt;1,"",IF(Candidates!I174&lt;='Find Candidates'!$B$9,1,0))</f>
        <v/>
      </c>
      <c r="I174" s="140" t="n">
        <f aca="false">IF($B174=1,C174*'Find Candidates'!$B$15+D174*'Find Candidates'!$B$16+E174*'Find Candidates'!$B$17+F174*'Find Candidates'!$B$18+G174*'Find Candidates'!$B$19+H174*'Find Candidates'!$B$20,0)</f>
        <v>0</v>
      </c>
      <c r="J174" s="140" t="str">
        <f aca="false">IF(AND($B174=1,I174&gt;0),I174-ROW()/10^8,"")</f>
        <v/>
      </c>
    </row>
    <row r="175" customFormat="false" ht="15" hidden="false" customHeight="false" outlineLevel="0" collapsed="false">
      <c r="A175" s="140" t="str">
        <f aca="false">IF(Candidates!A175="","",Candidates!A175)</f>
        <v/>
      </c>
      <c r="B175" s="140" t="str">
        <f aca="false">IF(Candidates!A175="","",IF(AND(Candidates!M175&lt;&gt;"Hired",Candidates!N175&lt;&gt;"Do Not Contact",Candidates!Q175="Yes"),1,0))</f>
        <v/>
      </c>
      <c r="C175" s="140" t="str">
        <f aca="false">IF($B175&lt;&gt;1,"",IF('Find Candidates'!$B$11=0,0,SUMPRODUCT(('Find Candidates'!$B$10:$F$10&lt;&gt;"")*ISNUMBER(SEARCH('Find Candidates'!$B$10:$F$10,Candidates!G175)))/'Find Candidates'!$B$11))</f>
        <v/>
      </c>
      <c r="D175" s="140" t="str">
        <f aca="false">IF($B175&lt;&gt;1,"",IF(N('Find Candidates'!$B$7)=0,1,MIN(1,Candidates!H175/'Find Candidates'!$B$7)))</f>
        <v/>
      </c>
      <c r="E175" s="140" t="str">
        <f aca="false">IF($B175&lt;&gt;1,"",IF(Candidates!F175='Find Candidates'!$B$6,1,0))</f>
        <v/>
      </c>
      <c r="F175" s="140" t="str">
        <f aca="false">IF($B175&lt;&gt;1,"",IF(Candidates!J175='Find Candidates'!$B$8,1,0))</f>
        <v/>
      </c>
      <c r="G175" s="140" t="str">
        <f aca="false">IF($B175&lt;&gt;1,"",IF(Candidates!K175&lt;=30,1,IF(Candidates!K175&lt;=60,0.5,0)))</f>
        <v/>
      </c>
      <c r="H175" s="140" t="str">
        <f aca="false">IF($B175&lt;&gt;1,"",IF(Candidates!I175&lt;='Find Candidates'!$B$9,1,0))</f>
        <v/>
      </c>
      <c r="I175" s="140" t="n">
        <f aca="false">IF($B175=1,C175*'Find Candidates'!$B$15+D175*'Find Candidates'!$B$16+E175*'Find Candidates'!$B$17+F175*'Find Candidates'!$B$18+G175*'Find Candidates'!$B$19+H175*'Find Candidates'!$B$20,0)</f>
        <v>0</v>
      </c>
      <c r="J175" s="140" t="str">
        <f aca="false">IF(AND($B175=1,I175&gt;0),I175-ROW()/10^8,"")</f>
        <v/>
      </c>
    </row>
    <row r="176" customFormat="false" ht="15" hidden="false" customHeight="false" outlineLevel="0" collapsed="false">
      <c r="A176" s="140" t="str">
        <f aca="false">IF(Candidates!A176="","",Candidates!A176)</f>
        <v/>
      </c>
      <c r="B176" s="140" t="str">
        <f aca="false">IF(Candidates!A176="","",IF(AND(Candidates!M176&lt;&gt;"Hired",Candidates!N176&lt;&gt;"Do Not Contact",Candidates!Q176="Yes"),1,0))</f>
        <v/>
      </c>
      <c r="C176" s="140" t="str">
        <f aca="false">IF($B176&lt;&gt;1,"",IF('Find Candidates'!$B$11=0,0,SUMPRODUCT(('Find Candidates'!$B$10:$F$10&lt;&gt;"")*ISNUMBER(SEARCH('Find Candidates'!$B$10:$F$10,Candidates!G176)))/'Find Candidates'!$B$11))</f>
        <v/>
      </c>
      <c r="D176" s="140" t="str">
        <f aca="false">IF($B176&lt;&gt;1,"",IF(N('Find Candidates'!$B$7)=0,1,MIN(1,Candidates!H176/'Find Candidates'!$B$7)))</f>
        <v/>
      </c>
      <c r="E176" s="140" t="str">
        <f aca="false">IF($B176&lt;&gt;1,"",IF(Candidates!F176='Find Candidates'!$B$6,1,0))</f>
        <v/>
      </c>
      <c r="F176" s="140" t="str">
        <f aca="false">IF($B176&lt;&gt;1,"",IF(Candidates!J176='Find Candidates'!$B$8,1,0))</f>
        <v/>
      </c>
      <c r="G176" s="140" t="str">
        <f aca="false">IF($B176&lt;&gt;1,"",IF(Candidates!K176&lt;=30,1,IF(Candidates!K176&lt;=60,0.5,0)))</f>
        <v/>
      </c>
      <c r="H176" s="140" t="str">
        <f aca="false">IF($B176&lt;&gt;1,"",IF(Candidates!I176&lt;='Find Candidates'!$B$9,1,0))</f>
        <v/>
      </c>
      <c r="I176" s="140" t="n">
        <f aca="false">IF($B176=1,C176*'Find Candidates'!$B$15+D176*'Find Candidates'!$B$16+E176*'Find Candidates'!$B$17+F176*'Find Candidates'!$B$18+G176*'Find Candidates'!$B$19+H176*'Find Candidates'!$B$20,0)</f>
        <v>0</v>
      </c>
      <c r="J176" s="140" t="str">
        <f aca="false">IF(AND($B176=1,I176&gt;0),I176-ROW()/10^8,"")</f>
        <v/>
      </c>
    </row>
    <row r="177" customFormat="false" ht="15" hidden="false" customHeight="false" outlineLevel="0" collapsed="false">
      <c r="A177" s="140" t="str">
        <f aca="false">IF(Candidates!A177="","",Candidates!A177)</f>
        <v/>
      </c>
      <c r="B177" s="140" t="str">
        <f aca="false">IF(Candidates!A177="","",IF(AND(Candidates!M177&lt;&gt;"Hired",Candidates!N177&lt;&gt;"Do Not Contact",Candidates!Q177="Yes"),1,0))</f>
        <v/>
      </c>
      <c r="C177" s="140" t="str">
        <f aca="false">IF($B177&lt;&gt;1,"",IF('Find Candidates'!$B$11=0,0,SUMPRODUCT(('Find Candidates'!$B$10:$F$10&lt;&gt;"")*ISNUMBER(SEARCH('Find Candidates'!$B$10:$F$10,Candidates!G177)))/'Find Candidates'!$B$11))</f>
        <v/>
      </c>
      <c r="D177" s="140" t="str">
        <f aca="false">IF($B177&lt;&gt;1,"",IF(N('Find Candidates'!$B$7)=0,1,MIN(1,Candidates!H177/'Find Candidates'!$B$7)))</f>
        <v/>
      </c>
      <c r="E177" s="140" t="str">
        <f aca="false">IF($B177&lt;&gt;1,"",IF(Candidates!F177='Find Candidates'!$B$6,1,0))</f>
        <v/>
      </c>
      <c r="F177" s="140" t="str">
        <f aca="false">IF($B177&lt;&gt;1,"",IF(Candidates!J177='Find Candidates'!$B$8,1,0))</f>
        <v/>
      </c>
      <c r="G177" s="140" t="str">
        <f aca="false">IF($B177&lt;&gt;1,"",IF(Candidates!K177&lt;=30,1,IF(Candidates!K177&lt;=60,0.5,0)))</f>
        <v/>
      </c>
      <c r="H177" s="140" t="str">
        <f aca="false">IF($B177&lt;&gt;1,"",IF(Candidates!I177&lt;='Find Candidates'!$B$9,1,0))</f>
        <v/>
      </c>
      <c r="I177" s="140" t="n">
        <f aca="false">IF($B177=1,C177*'Find Candidates'!$B$15+D177*'Find Candidates'!$B$16+E177*'Find Candidates'!$B$17+F177*'Find Candidates'!$B$18+G177*'Find Candidates'!$B$19+H177*'Find Candidates'!$B$20,0)</f>
        <v>0</v>
      </c>
      <c r="J177" s="140" t="str">
        <f aca="false">IF(AND($B177=1,I177&gt;0),I177-ROW()/10^8,"")</f>
        <v/>
      </c>
    </row>
    <row r="178" customFormat="false" ht="15" hidden="false" customHeight="false" outlineLevel="0" collapsed="false">
      <c r="A178" s="140" t="str">
        <f aca="false">IF(Candidates!A178="","",Candidates!A178)</f>
        <v/>
      </c>
      <c r="B178" s="140" t="str">
        <f aca="false">IF(Candidates!A178="","",IF(AND(Candidates!M178&lt;&gt;"Hired",Candidates!N178&lt;&gt;"Do Not Contact",Candidates!Q178="Yes"),1,0))</f>
        <v/>
      </c>
      <c r="C178" s="140" t="str">
        <f aca="false">IF($B178&lt;&gt;1,"",IF('Find Candidates'!$B$11=0,0,SUMPRODUCT(('Find Candidates'!$B$10:$F$10&lt;&gt;"")*ISNUMBER(SEARCH('Find Candidates'!$B$10:$F$10,Candidates!G178)))/'Find Candidates'!$B$11))</f>
        <v/>
      </c>
      <c r="D178" s="140" t="str">
        <f aca="false">IF($B178&lt;&gt;1,"",IF(N('Find Candidates'!$B$7)=0,1,MIN(1,Candidates!H178/'Find Candidates'!$B$7)))</f>
        <v/>
      </c>
      <c r="E178" s="140" t="str">
        <f aca="false">IF($B178&lt;&gt;1,"",IF(Candidates!F178='Find Candidates'!$B$6,1,0))</f>
        <v/>
      </c>
      <c r="F178" s="140" t="str">
        <f aca="false">IF($B178&lt;&gt;1,"",IF(Candidates!J178='Find Candidates'!$B$8,1,0))</f>
        <v/>
      </c>
      <c r="G178" s="140" t="str">
        <f aca="false">IF($B178&lt;&gt;1,"",IF(Candidates!K178&lt;=30,1,IF(Candidates!K178&lt;=60,0.5,0)))</f>
        <v/>
      </c>
      <c r="H178" s="140" t="str">
        <f aca="false">IF($B178&lt;&gt;1,"",IF(Candidates!I178&lt;='Find Candidates'!$B$9,1,0))</f>
        <v/>
      </c>
      <c r="I178" s="140" t="n">
        <f aca="false">IF($B178=1,C178*'Find Candidates'!$B$15+D178*'Find Candidates'!$B$16+E178*'Find Candidates'!$B$17+F178*'Find Candidates'!$B$18+G178*'Find Candidates'!$B$19+H178*'Find Candidates'!$B$20,0)</f>
        <v>0</v>
      </c>
      <c r="J178" s="140" t="str">
        <f aca="false">IF(AND($B178=1,I178&gt;0),I178-ROW()/10^8,"")</f>
        <v/>
      </c>
    </row>
    <row r="179" customFormat="false" ht="15" hidden="false" customHeight="false" outlineLevel="0" collapsed="false">
      <c r="A179" s="140" t="str">
        <f aca="false">IF(Candidates!A179="","",Candidates!A179)</f>
        <v/>
      </c>
      <c r="B179" s="140" t="str">
        <f aca="false">IF(Candidates!A179="","",IF(AND(Candidates!M179&lt;&gt;"Hired",Candidates!N179&lt;&gt;"Do Not Contact",Candidates!Q179="Yes"),1,0))</f>
        <v/>
      </c>
      <c r="C179" s="140" t="str">
        <f aca="false">IF($B179&lt;&gt;1,"",IF('Find Candidates'!$B$11=0,0,SUMPRODUCT(('Find Candidates'!$B$10:$F$10&lt;&gt;"")*ISNUMBER(SEARCH('Find Candidates'!$B$10:$F$10,Candidates!G179)))/'Find Candidates'!$B$11))</f>
        <v/>
      </c>
      <c r="D179" s="140" t="str">
        <f aca="false">IF($B179&lt;&gt;1,"",IF(N('Find Candidates'!$B$7)=0,1,MIN(1,Candidates!H179/'Find Candidates'!$B$7)))</f>
        <v/>
      </c>
      <c r="E179" s="140" t="str">
        <f aca="false">IF($B179&lt;&gt;1,"",IF(Candidates!F179='Find Candidates'!$B$6,1,0))</f>
        <v/>
      </c>
      <c r="F179" s="140" t="str">
        <f aca="false">IF($B179&lt;&gt;1,"",IF(Candidates!J179='Find Candidates'!$B$8,1,0))</f>
        <v/>
      </c>
      <c r="G179" s="140" t="str">
        <f aca="false">IF($B179&lt;&gt;1,"",IF(Candidates!K179&lt;=30,1,IF(Candidates!K179&lt;=60,0.5,0)))</f>
        <v/>
      </c>
      <c r="H179" s="140" t="str">
        <f aca="false">IF($B179&lt;&gt;1,"",IF(Candidates!I179&lt;='Find Candidates'!$B$9,1,0))</f>
        <v/>
      </c>
      <c r="I179" s="140" t="n">
        <f aca="false">IF($B179=1,C179*'Find Candidates'!$B$15+D179*'Find Candidates'!$B$16+E179*'Find Candidates'!$B$17+F179*'Find Candidates'!$B$18+G179*'Find Candidates'!$B$19+H179*'Find Candidates'!$B$20,0)</f>
        <v>0</v>
      </c>
      <c r="J179" s="140" t="str">
        <f aca="false">IF(AND($B179=1,I179&gt;0),I179-ROW()/10^8,"")</f>
        <v/>
      </c>
    </row>
    <row r="180" customFormat="false" ht="15" hidden="false" customHeight="false" outlineLevel="0" collapsed="false">
      <c r="A180" s="140" t="str">
        <f aca="false">IF(Candidates!A180="","",Candidates!A180)</f>
        <v/>
      </c>
      <c r="B180" s="140" t="str">
        <f aca="false">IF(Candidates!A180="","",IF(AND(Candidates!M180&lt;&gt;"Hired",Candidates!N180&lt;&gt;"Do Not Contact",Candidates!Q180="Yes"),1,0))</f>
        <v/>
      </c>
      <c r="C180" s="140" t="str">
        <f aca="false">IF($B180&lt;&gt;1,"",IF('Find Candidates'!$B$11=0,0,SUMPRODUCT(('Find Candidates'!$B$10:$F$10&lt;&gt;"")*ISNUMBER(SEARCH('Find Candidates'!$B$10:$F$10,Candidates!G180)))/'Find Candidates'!$B$11))</f>
        <v/>
      </c>
      <c r="D180" s="140" t="str">
        <f aca="false">IF($B180&lt;&gt;1,"",IF(N('Find Candidates'!$B$7)=0,1,MIN(1,Candidates!H180/'Find Candidates'!$B$7)))</f>
        <v/>
      </c>
      <c r="E180" s="140" t="str">
        <f aca="false">IF($B180&lt;&gt;1,"",IF(Candidates!F180='Find Candidates'!$B$6,1,0))</f>
        <v/>
      </c>
      <c r="F180" s="140" t="str">
        <f aca="false">IF($B180&lt;&gt;1,"",IF(Candidates!J180='Find Candidates'!$B$8,1,0))</f>
        <v/>
      </c>
      <c r="G180" s="140" t="str">
        <f aca="false">IF($B180&lt;&gt;1,"",IF(Candidates!K180&lt;=30,1,IF(Candidates!K180&lt;=60,0.5,0)))</f>
        <v/>
      </c>
      <c r="H180" s="140" t="str">
        <f aca="false">IF($B180&lt;&gt;1,"",IF(Candidates!I180&lt;='Find Candidates'!$B$9,1,0))</f>
        <v/>
      </c>
      <c r="I180" s="140" t="n">
        <f aca="false">IF($B180=1,C180*'Find Candidates'!$B$15+D180*'Find Candidates'!$B$16+E180*'Find Candidates'!$B$17+F180*'Find Candidates'!$B$18+G180*'Find Candidates'!$B$19+H180*'Find Candidates'!$B$20,0)</f>
        <v>0</v>
      </c>
      <c r="J180" s="140" t="str">
        <f aca="false">IF(AND($B180=1,I180&gt;0),I180-ROW()/10^8,"")</f>
        <v/>
      </c>
    </row>
    <row r="181" customFormat="false" ht="15" hidden="false" customHeight="false" outlineLevel="0" collapsed="false">
      <c r="A181" s="140" t="str">
        <f aca="false">IF(Candidates!A181="","",Candidates!A181)</f>
        <v/>
      </c>
      <c r="B181" s="140" t="str">
        <f aca="false">IF(Candidates!A181="","",IF(AND(Candidates!M181&lt;&gt;"Hired",Candidates!N181&lt;&gt;"Do Not Contact",Candidates!Q181="Yes"),1,0))</f>
        <v/>
      </c>
      <c r="C181" s="140" t="str">
        <f aca="false">IF($B181&lt;&gt;1,"",IF('Find Candidates'!$B$11=0,0,SUMPRODUCT(('Find Candidates'!$B$10:$F$10&lt;&gt;"")*ISNUMBER(SEARCH('Find Candidates'!$B$10:$F$10,Candidates!G181)))/'Find Candidates'!$B$11))</f>
        <v/>
      </c>
      <c r="D181" s="140" t="str">
        <f aca="false">IF($B181&lt;&gt;1,"",IF(N('Find Candidates'!$B$7)=0,1,MIN(1,Candidates!H181/'Find Candidates'!$B$7)))</f>
        <v/>
      </c>
      <c r="E181" s="140" t="str">
        <f aca="false">IF($B181&lt;&gt;1,"",IF(Candidates!F181='Find Candidates'!$B$6,1,0))</f>
        <v/>
      </c>
      <c r="F181" s="140" t="str">
        <f aca="false">IF($B181&lt;&gt;1,"",IF(Candidates!J181='Find Candidates'!$B$8,1,0))</f>
        <v/>
      </c>
      <c r="G181" s="140" t="str">
        <f aca="false">IF($B181&lt;&gt;1,"",IF(Candidates!K181&lt;=30,1,IF(Candidates!K181&lt;=60,0.5,0)))</f>
        <v/>
      </c>
      <c r="H181" s="140" t="str">
        <f aca="false">IF($B181&lt;&gt;1,"",IF(Candidates!I181&lt;='Find Candidates'!$B$9,1,0))</f>
        <v/>
      </c>
      <c r="I181" s="140" t="n">
        <f aca="false">IF($B181=1,C181*'Find Candidates'!$B$15+D181*'Find Candidates'!$B$16+E181*'Find Candidates'!$B$17+F181*'Find Candidates'!$B$18+G181*'Find Candidates'!$B$19+H181*'Find Candidates'!$B$20,0)</f>
        <v>0</v>
      </c>
      <c r="J181" s="140" t="str">
        <f aca="false">IF(AND($B181=1,I181&gt;0),I181-ROW()/10^8,"")</f>
        <v/>
      </c>
    </row>
    <row r="182" customFormat="false" ht="15" hidden="false" customHeight="false" outlineLevel="0" collapsed="false">
      <c r="A182" s="140" t="str">
        <f aca="false">IF(Candidates!A182="","",Candidates!A182)</f>
        <v/>
      </c>
      <c r="B182" s="140" t="str">
        <f aca="false">IF(Candidates!A182="","",IF(AND(Candidates!M182&lt;&gt;"Hired",Candidates!N182&lt;&gt;"Do Not Contact",Candidates!Q182="Yes"),1,0))</f>
        <v/>
      </c>
      <c r="C182" s="140" t="str">
        <f aca="false">IF($B182&lt;&gt;1,"",IF('Find Candidates'!$B$11=0,0,SUMPRODUCT(('Find Candidates'!$B$10:$F$10&lt;&gt;"")*ISNUMBER(SEARCH('Find Candidates'!$B$10:$F$10,Candidates!G182)))/'Find Candidates'!$B$11))</f>
        <v/>
      </c>
      <c r="D182" s="140" t="str">
        <f aca="false">IF($B182&lt;&gt;1,"",IF(N('Find Candidates'!$B$7)=0,1,MIN(1,Candidates!H182/'Find Candidates'!$B$7)))</f>
        <v/>
      </c>
      <c r="E182" s="140" t="str">
        <f aca="false">IF($B182&lt;&gt;1,"",IF(Candidates!F182='Find Candidates'!$B$6,1,0))</f>
        <v/>
      </c>
      <c r="F182" s="140" t="str">
        <f aca="false">IF($B182&lt;&gt;1,"",IF(Candidates!J182='Find Candidates'!$B$8,1,0))</f>
        <v/>
      </c>
      <c r="G182" s="140" t="str">
        <f aca="false">IF($B182&lt;&gt;1,"",IF(Candidates!K182&lt;=30,1,IF(Candidates!K182&lt;=60,0.5,0)))</f>
        <v/>
      </c>
      <c r="H182" s="140" t="str">
        <f aca="false">IF($B182&lt;&gt;1,"",IF(Candidates!I182&lt;='Find Candidates'!$B$9,1,0))</f>
        <v/>
      </c>
      <c r="I182" s="140" t="n">
        <f aca="false">IF($B182=1,C182*'Find Candidates'!$B$15+D182*'Find Candidates'!$B$16+E182*'Find Candidates'!$B$17+F182*'Find Candidates'!$B$18+G182*'Find Candidates'!$B$19+H182*'Find Candidates'!$B$20,0)</f>
        <v>0</v>
      </c>
      <c r="J182" s="140" t="str">
        <f aca="false">IF(AND($B182=1,I182&gt;0),I182-ROW()/10^8,"")</f>
        <v/>
      </c>
    </row>
    <row r="183" customFormat="false" ht="15" hidden="false" customHeight="false" outlineLevel="0" collapsed="false">
      <c r="A183" s="140" t="str">
        <f aca="false">IF(Candidates!A183="","",Candidates!A183)</f>
        <v/>
      </c>
      <c r="B183" s="140" t="str">
        <f aca="false">IF(Candidates!A183="","",IF(AND(Candidates!M183&lt;&gt;"Hired",Candidates!N183&lt;&gt;"Do Not Contact",Candidates!Q183="Yes"),1,0))</f>
        <v/>
      </c>
      <c r="C183" s="140" t="str">
        <f aca="false">IF($B183&lt;&gt;1,"",IF('Find Candidates'!$B$11=0,0,SUMPRODUCT(('Find Candidates'!$B$10:$F$10&lt;&gt;"")*ISNUMBER(SEARCH('Find Candidates'!$B$10:$F$10,Candidates!G183)))/'Find Candidates'!$B$11))</f>
        <v/>
      </c>
      <c r="D183" s="140" t="str">
        <f aca="false">IF($B183&lt;&gt;1,"",IF(N('Find Candidates'!$B$7)=0,1,MIN(1,Candidates!H183/'Find Candidates'!$B$7)))</f>
        <v/>
      </c>
      <c r="E183" s="140" t="str">
        <f aca="false">IF($B183&lt;&gt;1,"",IF(Candidates!F183='Find Candidates'!$B$6,1,0))</f>
        <v/>
      </c>
      <c r="F183" s="140" t="str">
        <f aca="false">IF($B183&lt;&gt;1,"",IF(Candidates!J183='Find Candidates'!$B$8,1,0))</f>
        <v/>
      </c>
      <c r="G183" s="140" t="str">
        <f aca="false">IF($B183&lt;&gt;1,"",IF(Candidates!K183&lt;=30,1,IF(Candidates!K183&lt;=60,0.5,0)))</f>
        <v/>
      </c>
      <c r="H183" s="140" t="str">
        <f aca="false">IF($B183&lt;&gt;1,"",IF(Candidates!I183&lt;='Find Candidates'!$B$9,1,0))</f>
        <v/>
      </c>
      <c r="I183" s="140" t="n">
        <f aca="false">IF($B183=1,C183*'Find Candidates'!$B$15+D183*'Find Candidates'!$B$16+E183*'Find Candidates'!$B$17+F183*'Find Candidates'!$B$18+G183*'Find Candidates'!$B$19+H183*'Find Candidates'!$B$20,0)</f>
        <v>0</v>
      </c>
      <c r="J183" s="140" t="str">
        <f aca="false">IF(AND($B183=1,I183&gt;0),I183-ROW()/10^8,"")</f>
        <v/>
      </c>
    </row>
    <row r="184" customFormat="false" ht="15" hidden="false" customHeight="false" outlineLevel="0" collapsed="false">
      <c r="A184" s="140" t="str">
        <f aca="false">IF(Candidates!A184="","",Candidates!A184)</f>
        <v/>
      </c>
      <c r="B184" s="140" t="str">
        <f aca="false">IF(Candidates!A184="","",IF(AND(Candidates!M184&lt;&gt;"Hired",Candidates!N184&lt;&gt;"Do Not Contact",Candidates!Q184="Yes"),1,0))</f>
        <v/>
      </c>
      <c r="C184" s="140" t="str">
        <f aca="false">IF($B184&lt;&gt;1,"",IF('Find Candidates'!$B$11=0,0,SUMPRODUCT(('Find Candidates'!$B$10:$F$10&lt;&gt;"")*ISNUMBER(SEARCH('Find Candidates'!$B$10:$F$10,Candidates!G184)))/'Find Candidates'!$B$11))</f>
        <v/>
      </c>
      <c r="D184" s="140" t="str">
        <f aca="false">IF($B184&lt;&gt;1,"",IF(N('Find Candidates'!$B$7)=0,1,MIN(1,Candidates!H184/'Find Candidates'!$B$7)))</f>
        <v/>
      </c>
      <c r="E184" s="140" t="str">
        <f aca="false">IF($B184&lt;&gt;1,"",IF(Candidates!F184='Find Candidates'!$B$6,1,0))</f>
        <v/>
      </c>
      <c r="F184" s="140" t="str">
        <f aca="false">IF($B184&lt;&gt;1,"",IF(Candidates!J184='Find Candidates'!$B$8,1,0))</f>
        <v/>
      </c>
      <c r="G184" s="140" t="str">
        <f aca="false">IF($B184&lt;&gt;1,"",IF(Candidates!K184&lt;=30,1,IF(Candidates!K184&lt;=60,0.5,0)))</f>
        <v/>
      </c>
      <c r="H184" s="140" t="str">
        <f aca="false">IF($B184&lt;&gt;1,"",IF(Candidates!I184&lt;='Find Candidates'!$B$9,1,0))</f>
        <v/>
      </c>
      <c r="I184" s="140" t="n">
        <f aca="false">IF($B184=1,C184*'Find Candidates'!$B$15+D184*'Find Candidates'!$B$16+E184*'Find Candidates'!$B$17+F184*'Find Candidates'!$B$18+G184*'Find Candidates'!$B$19+H184*'Find Candidates'!$B$20,0)</f>
        <v>0</v>
      </c>
      <c r="J184" s="140" t="str">
        <f aca="false">IF(AND($B184=1,I184&gt;0),I184-ROW()/10^8,"")</f>
        <v/>
      </c>
    </row>
    <row r="185" customFormat="false" ht="15" hidden="false" customHeight="false" outlineLevel="0" collapsed="false">
      <c r="A185" s="140" t="str">
        <f aca="false">IF(Candidates!A185="","",Candidates!A185)</f>
        <v/>
      </c>
      <c r="B185" s="140" t="str">
        <f aca="false">IF(Candidates!A185="","",IF(AND(Candidates!M185&lt;&gt;"Hired",Candidates!N185&lt;&gt;"Do Not Contact",Candidates!Q185="Yes"),1,0))</f>
        <v/>
      </c>
      <c r="C185" s="140" t="str">
        <f aca="false">IF($B185&lt;&gt;1,"",IF('Find Candidates'!$B$11=0,0,SUMPRODUCT(('Find Candidates'!$B$10:$F$10&lt;&gt;"")*ISNUMBER(SEARCH('Find Candidates'!$B$10:$F$10,Candidates!G185)))/'Find Candidates'!$B$11))</f>
        <v/>
      </c>
      <c r="D185" s="140" t="str">
        <f aca="false">IF($B185&lt;&gt;1,"",IF(N('Find Candidates'!$B$7)=0,1,MIN(1,Candidates!H185/'Find Candidates'!$B$7)))</f>
        <v/>
      </c>
      <c r="E185" s="140" t="str">
        <f aca="false">IF($B185&lt;&gt;1,"",IF(Candidates!F185='Find Candidates'!$B$6,1,0))</f>
        <v/>
      </c>
      <c r="F185" s="140" t="str">
        <f aca="false">IF($B185&lt;&gt;1,"",IF(Candidates!J185='Find Candidates'!$B$8,1,0))</f>
        <v/>
      </c>
      <c r="G185" s="140" t="str">
        <f aca="false">IF($B185&lt;&gt;1,"",IF(Candidates!K185&lt;=30,1,IF(Candidates!K185&lt;=60,0.5,0)))</f>
        <v/>
      </c>
      <c r="H185" s="140" t="str">
        <f aca="false">IF($B185&lt;&gt;1,"",IF(Candidates!I185&lt;='Find Candidates'!$B$9,1,0))</f>
        <v/>
      </c>
      <c r="I185" s="140" t="n">
        <f aca="false">IF($B185=1,C185*'Find Candidates'!$B$15+D185*'Find Candidates'!$B$16+E185*'Find Candidates'!$B$17+F185*'Find Candidates'!$B$18+G185*'Find Candidates'!$B$19+H185*'Find Candidates'!$B$20,0)</f>
        <v>0</v>
      </c>
      <c r="J185" s="140" t="str">
        <f aca="false">IF(AND($B185=1,I185&gt;0),I185-ROW()/10^8,"")</f>
        <v/>
      </c>
    </row>
    <row r="186" customFormat="false" ht="15" hidden="false" customHeight="false" outlineLevel="0" collapsed="false">
      <c r="A186" s="140" t="str">
        <f aca="false">IF(Candidates!A186="","",Candidates!A186)</f>
        <v/>
      </c>
      <c r="B186" s="140" t="str">
        <f aca="false">IF(Candidates!A186="","",IF(AND(Candidates!M186&lt;&gt;"Hired",Candidates!N186&lt;&gt;"Do Not Contact",Candidates!Q186="Yes"),1,0))</f>
        <v/>
      </c>
      <c r="C186" s="140" t="str">
        <f aca="false">IF($B186&lt;&gt;1,"",IF('Find Candidates'!$B$11=0,0,SUMPRODUCT(('Find Candidates'!$B$10:$F$10&lt;&gt;"")*ISNUMBER(SEARCH('Find Candidates'!$B$10:$F$10,Candidates!G186)))/'Find Candidates'!$B$11))</f>
        <v/>
      </c>
      <c r="D186" s="140" t="str">
        <f aca="false">IF($B186&lt;&gt;1,"",IF(N('Find Candidates'!$B$7)=0,1,MIN(1,Candidates!H186/'Find Candidates'!$B$7)))</f>
        <v/>
      </c>
      <c r="E186" s="140" t="str">
        <f aca="false">IF($B186&lt;&gt;1,"",IF(Candidates!F186='Find Candidates'!$B$6,1,0))</f>
        <v/>
      </c>
      <c r="F186" s="140" t="str">
        <f aca="false">IF($B186&lt;&gt;1,"",IF(Candidates!J186='Find Candidates'!$B$8,1,0))</f>
        <v/>
      </c>
      <c r="G186" s="140" t="str">
        <f aca="false">IF($B186&lt;&gt;1,"",IF(Candidates!K186&lt;=30,1,IF(Candidates!K186&lt;=60,0.5,0)))</f>
        <v/>
      </c>
      <c r="H186" s="140" t="str">
        <f aca="false">IF($B186&lt;&gt;1,"",IF(Candidates!I186&lt;='Find Candidates'!$B$9,1,0))</f>
        <v/>
      </c>
      <c r="I186" s="140" t="n">
        <f aca="false">IF($B186=1,C186*'Find Candidates'!$B$15+D186*'Find Candidates'!$B$16+E186*'Find Candidates'!$B$17+F186*'Find Candidates'!$B$18+G186*'Find Candidates'!$B$19+H186*'Find Candidates'!$B$20,0)</f>
        <v>0</v>
      </c>
      <c r="J186" s="140" t="str">
        <f aca="false">IF(AND($B186=1,I186&gt;0),I186-ROW()/10^8,"")</f>
        <v/>
      </c>
    </row>
    <row r="187" customFormat="false" ht="15" hidden="false" customHeight="false" outlineLevel="0" collapsed="false">
      <c r="A187" s="140" t="str">
        <f aca="false">IF(Candidates!A187="","",Candidates!A187)</f>
        <v/>
      </c>
      <c r="B187" s="140" t="str">
        <f aca="false">IF(Candidates!A187="","",IF(AND(Candidates!M187&lt;&gt;"Hired",Candidates!N187&lt;&gt;"Do Not Contact",Candidates!Q187="Yes"),1,0))</f>
        <v/>
      </c>
      <c r="C187" s="140" t="str">
        <f aca="false">IF($B187&lt;&gt;1,"",IF('Find Candidates'!$B$11=0,0,SUMPRODUCT(('Find Candidates'!$B$10:$F$10&lt;&gt;"")*ISNUMBER(SEARCH('Find Candidates'!$B$10:$F$10,Candidates!G187)))/'Find Candidates'!$B$11))</f>
        <v/>
      </c>
      <c r="D187" s="140" t="str">
        <f aca="false">IF($B187&lt;&gt;1,"",IF(N('Find Candidates'!$B$7)=0,1,MIN(1,Candidates!H187/'Find Candidates'!$B$7)))</f>
        <v/>
      </c>
      <c r="E187" s="140" t="str">
        <f aca="false">IF($B187&lt;&gt;1,"",IF(Candidates!F187='Find Candidates'!$B$6,1,0))</f>
        <v/>
      </c>
      <c r="F187" s="140" t="str">
        <f aca="false">IF($B187&lt;&gt;1,"",IF(Candidates!J187='Find Candidates'!$B$8,1,0))</f>
        <v/>
      </c>
      <c r="G187" s="140" t="str">
        <f aca="false">IF($B187&lt;&gt;1,"",IF(Candidates!K187&lt;=30,1,IF(Candidates!K187&lt;=60,0.5,0)))</f>
        <v/>
      </c>
      <c r="H187" s="140" t="str">
        <f aca="false">IF($B187&lt;&gt;1,"",IF(Candidates!I187&lt;='Find Candidates'!$B$9,1,0))</f>
        <v/>
      </c>
      <c r="I187" s="140" t="n">
        <f aca="false">IF($B187=1,C187*'Find Candidates'!$B$15+D187*'Find Candidates'!$B$16+E187*'Find Candidates'!$B$17+F187*'Find Candidates'!$B$18+G187*'Find Candidates'!$B$19+H187*'Find Candidates'!$B$20,0)</f>
        <v>0</v>
      </c>
      <c r="J187" s="140" t="str">
        <f aca="false">IF(AND($B187=1,I187&gt;0),I187-ROW()/10^8,"")</f>
        <v/>
      </c>
    </row>
    <row r="188" customFormat="false" ht="15" hidden="false" customHeight="false" outlineLevel="0" collapsed="false">
      <c r="A188" s="140" t="str">
        <f aca="false">IF(Candidates!A188="","",Candidates!A188)</f>
        <v/>
      </c>
      <c r="B188" s="140" t="str">
        <f aca="false">IF(Candidates!A188="","",IF(AND(Candidates!M188&lt;&gt;"Hired",Candidates!N188&lt;&gt;"Do Not Contact",Candidates!Q188="Yes"),1,0))</f>
        <v/>
      </c>
      <c r="C188" s="140" t="str">
        <f aca="false">IF($B188&lt;&gt;1,"",IF('Find Candidates'!$B$11=0,0,SUMPRODUCT(('Find Candidates'!$B$10:$F$10&lt;&gt;"")*ISNUMBER(SEARCH('Find Candidates'!$B$10:$F$10,Candidates!G188)))/'Find Candidates'!$B$11))</f>
        <v/>
      </c>
      <c r="D188" s="140" t="str">
        <f aca="false">IF($B188&lt;&gt;1,"",IF(N('Find Candidates'!$B$7)=0,1,MIN(1,Candidates!H188/'Find Candidates'!$B$7)))</f>
        <v/>
      </c>
      <c r="E188" s="140" t="str">
        <f aca="false">IF($B188&lt;&gt;1,"",IF(Candidates!F188='Find Candidates'!$B$6,1,0))</f>
        <v/>
      </c>
      <c r="F188" s="140" t="str">
        <f aca="false">IF($B188&lt;&gt;1,"",IF(Candidates!J188='Find Candidates'!$B$8,1,0))</f>
        <v/>
      </c>
      <c r="G188" s="140" t="str">
        <f aca="false">IF($B188&lt;&gt;1,"",IF(Candidates!K188&lt;=30,1,IF(Candidates!K188&lt;=60,0.5,0)))</f>
        <v/>
      </c>
      <c r="H188" s="140" t="str">
        <f aca="false">IF($B188&lt;&gt;1,"",IF(Candidates!I188&lt;='Find Candidates'!$B$9,1,0))</f>
        <v/>
      </c>
      <c r="I188" s="140" t="n">
        <f aca="false">IF($B188=1,C188*'Find Candidates'!$B$15+D188*'Find Candidates'!$B$16+E188*'Find Candidates'!$B$17+F188*'Find Candidates'!$B$18+G188*'Find Candidates'!$B$19+H188*'Find Candidates'!$B$20,0)</f>
        <v>0</v>
      </c>
      <c r="J188" s="140" t="str">
        <f aca="false">IF(AND($B188=1,I188&gt;0),I188-ROW()/10^8,"")</f>
        <v/>
      </c>
    </row>
    <row r="189" customFormat="false" ht="15" hidden="false" customHeight="false" outlineLevel="0" collapsed="false">
      <c r="A189" s="140" t="str">
        <f aca="false">IF(Candidates!A189="","",Candidates!A189)</f>
        <v/>
      </c>
      <c r="B189" s="140" t="str">
        <f aca="false">IF(Candidates!A189="","",IF(AND(Candidates!M189&lt;&gt;"Hired",Candidates!N189&lt;&gt;"Do Not Contact",Candidates!Q189="Yes"),1,0))</f>
        <v/>
      </c>
      <c r="C189" s="140" t="str">
        <f aca="false">IF($B189&lt;&gt;1,"",IF('Find Candidates'!$B$11=0,0,SUMPRODUCT(('Find Candidates'!$B$10:$F$10&lt;&gt;"")*ISNUMBER(SEARCH('Find Candidates'!$B$10:$F$10,Candidates!G189)))/'Find Candidates'!$B$11))</f>
        <v/>
      </c>
      <c r="D189" s="140" t="str">
        <f aca="false">IF($B189&lt;&gt;1,"",IF(N('Find Candidates'!$B$7)=0,1,MIN(1,Candidates!H189/'Find Candidates'!$B$7)))</f>
        <v/>
      </c>
      <c r="E189" s="140" t="str">
        <f aca="false">IF($B189&lt;&gt;1,"",IF(Candidates!F189='Find Candidates'!$B$6,1,0))</f>
        <v/>
      </c>
      <c r="F189" s="140" t="str">
        <f aca="false">IF($B189&lt;&gt;1,"",IF(Candidates!J189='Find Candidates'!$B$8,1,0))</f>
        <v/>
      </c>
      <c r="G189" s="140" t="str">
        <f aca="false">IF($B189&lt;&gt;1,"",IF(Candidates!K189&lt;=30,1,IF(Candidates!K189&lt;=60,0.5,0)))</f>
        <v/>
      </c>
      <c r="H189" s="140" t="str">
        <f aca="false">IF($B189&lt;&gt;1,"",IF(Candidates!I189&lt;='Find Candidates'!$B$9,1,0))</f>
        <v/>
      </c>
      <c r="I189" s="140" t="n">
        <f aca="false">IF($B189=1,C189*'Find Candidates'!$B$15+D189*'Find Candidates'!$B$16+E189*'Find Candidates'!$B$17+F189*'Find Candidates'!$B$18+G189*'Find Candidates'!$B$19+H189*'Find Candidates'!$B$20,0)</f>
        <v>0</v>
      </c>
      <c r="J189" s="140" t="str">
        <f aca="false">IF(AND($B189=1,I189&gt;0),I189-ROW()/10^8,"")</f>
        <v/>
      </c>
    </row>
    <row r="190" customFormat="false" ht="15" hidden="false" customHeight="false" outlineLevel="0" collapsed="false">
      <c r="A190" s="140" t="str">
        <f aca="false">IF(Candidates!A190="","",Candidates!A190)</f>
        <v/>
      </c>
      <c r="B190" s="140" t="str">
        <f aca="false">IF(Candidates!A190="","",IF(AND(Candidates!M190&lt;&gt;"Hired",Candidates!N190&lt;&gt;"Do Not Contact",Candidates!Q190="Yes"),1,0))</f>
        <v/>
      </c>
      <c r="C190" s="140" t="str">
        <f aca="false">IF($B190&lt;&gt;1,"",IF('Find Candidates'!$B$11=0,0,SUMPRODUCT(('Find Candidates'!$B$10:$F$10&lt;&gt;"")*ISNUMBER(SEARCH('Find Candidates'!$B$10:$F$10,Candidates!G190)))/'Find Candidates'!$B$11))</f>
        <v/>
      </c>
      <c r="D190" s="140" t="str">
        <f aca="false">IF($B190&lt;&gt;1,"",IF(N('Find Candidates'!$B$7)=0,1,MIN(1,Candidates!H190/'Find Candidates'!$B$7)))</f>
        <v/>
      </c>
      <c r="E190" s="140" t="str">
        <f aca="false">IF($B190&lt;&gt;1,"",IF(Candidates!F190='Find Candidates'!$B$6,1,0))</f>
        <v/>
      </c>
      <c r="F190" s="140" t="str">
        <f aca="false">IF($B190&lt;&gt;1,"",IF(Candidates!J190='Find Candidates'!$B$8,1,0))</f>
        <v/>
      </c>
      <c r="G190" s="140" t="str">
        <f aca="false">IF($B190&lt;&gt;1,"",IF(Candidates!K190&lt;=30,1,IF(Candidates!K190&lt;=60,0.5,0)))</f>
        <v/>
      </c>
      <c r="H190" s="140" t="str">
        <f aca="false">IF($B190&lt;&gt;1,"",IF(Candidates!I190&lt;='Find Candidates'!$B$9,1,0))</f>
        <v/>
      </c>
      <c r="I190" s="140" t="n">
        <f aca="false">IF($B190=1,C190*'Find Candidates'!$B$15+D190*'Find Candidates'!$B$16+E190*'Find Candidates'!$B$17+F190*'Find Candidates'!$B$18+G190*'Find Candidates'!$B$19+H190*'Find Candidates'!$B$20,0)</f>
        <v>0</v>
      </c>
      <c r="J190" s="140" t="str">
        <f aca="false">IF(AND($B190=1,I190&gt;0),I190-ROW()/10^8,"")</f>
        <v/>
      </c>
    </row>
    <row r="191" customFormat="false" ht="15" hidden="false" customHeight="false" outlineLevel="0" collapsed="false">
      <c r="A191" s="140" t="str">
        <f aca="false">IF(Candidates!A191="","",Candidates!A191)</f>
        <v/>
      </c>
      <c r="B191" s="140" t="str">
        <f aca="false">IF(Candidates!A191="","",IF(AND(Candidates!M191&lt;&gt;"Hired",Candidates!N191&lt;&gt;"Do Not Contact",Candidates!Q191="Yes"),1,0))</f>
        <v/>
      </c>
      <c r="C191" s="140" t="str">
        <f aca="false">IF($B191&lt;&gt;1,"",IF('Find Candidates'!$B$11=0,0,SUMPRODUCT(('Find Candidates'!$B$10:$F$10&lt;&gt;"")*ISNUMBER(SEARCH('Find Candidates'!$B$10:$F$10,Candidates!G191)))/'Find Candidates'!$B$11))</f>
        <v/>
      </c>
      <c r="D191" s="140" t="str">
        <f aca="false">IF($B191&lt;&gt;1,"",IF(N('Find Candidates'!$B$7)=0,1,MIN(1,Candidates!H191/'Find Candidates'!$B$7)))</f>
        <v/>
      </c>
      <c r="E191" s="140" t="str">
        <f aca="false">IF($B191&lt;&gt;1,"",IF(Candidates!F191='Find Candidates'!$B$6,1,0))</f>
        <v/>
      </c>
      <c r="F191" s="140" t="str">
        <f aca="false">IF($B191&lt;&gt;1,"",IF(Candidates!J191='Find Candidates'!$B$8,1,0))</f>
        <v/>
      </c>
      <c r="G191" s="140" t="str">
        <f aca="false">IF($B191&lt;&gt;1,"",IF(Candidates!K191&lt;=30,1,IF(Candidates!K191&lt;=60,0.5,0)))</f>
        <v/>
      </c>
      <c r="H191" s="140" t="str">
        <f aca="false">IF($B191&lt;&gt;1,"",IF(Candidates!I191&lt;='Find Candidates'!$B$9,1,0))</f>
        <v/>
      </c>
      <c r="I191" s="140" t="n">
        <f aca="false">IF($B191=1,C191*'Find Candidates'!$B$15+D191*'Find Candidates'!$B$16+E191*'Find Candidates'!$B$17+F191*'Find Candidates'!$B$18+G191*'Find Candidates'!$B$19+H191*'Find Candidates'!$B$20,0)</f>
        <v>0</v>
      </c>
      <c r="J191" s="140" t="str">
        <f aca="false">IF(AND($B191=1,I191&gt;0),I191-ROW()/10^8,"")</f>
        <v/>
      </c>
    </row>
    <row r="192" customFormat="false" ht="15" hidden="false" customHeight="false" outlineLevel="0" collapsed="false">
      <c r="A192" s="140" t="str">
        <f aca="false">IF(Candidates!A192="","",Candidates!A192)</f>
        <v/>
      </c>
      <c r="B192" s="140" t="str">
        <f aca="false">IF(Candidates!A192="","",IF(AND(Candidates!M192&lt;&gt;"Hired",Candidates!N192&lt;&gt;"Do Not Contact",Candidates!Q192="Yes"),1,0))</f>
        <v/>
      </c>
      <c r="C192" s="140" t="str">
        <f aca="false">IF($B192&lt;&gt;1,"",IF('Find Candidates'!$B$11=0,0,SUMPRODUCT(('Find Candidates'!$B$10:$F$10&lt;&gt;"")*ISNUMBER(SEARCH('Find Candidates'!$B$10:$F$10,Candidates!G192)))/'Find Candidates'!$B$11))</f>
        <v/>
      </c>
      <c r="D192" s="140" t="str">
        <f aca="false">IF($B192&lt;&gt;1,"",IF(N('Find Candidates'!$B$7)=0,1,MIN(1,Candidates!H192/'Find Candidates'!$B$7)))</f>
        <v/>
      </c>
      <c r="E192" s="140" t="str">
        <f aca="false">IF($B192&lt;&gt;1,"",IF(Candidates!F192='Find Candidates'!$B$6,1,0))</f>
        <v/>
      </c>
      <c r="F192" s="140" t="str">
        <f aca="false">IF($B192&lt;&gt;1,"",IF(Candidates!J192='Find Candidates'!$B$8,1,0))</f>
        <v/>
      </c>
      <c r="G192" s="140" t="str">
        <f aca="false">IF($B192&lt;&gt;1,"",IF(Candidates!K192&lt;=30,1,IF(Candidates!K192&lt;=60,0.5,0)))</f>
        <v/>
      </c>
      <c r="H192" s="140" t="str">
        <f aca="false">IF($B192&lt;&gt;1,"",IF(Candidates!I192&lt;='Find Candidates'!$B$9,1,0))</f>
        <v/>
      </c>
      <c r="I192" s="140" t="n">
        <f aca="false">IF($B192=1,C192*'Find Candidates'!$B$15+D192*'Find Candidates'!$B$16+E192*'Find Candidates'!$B$17+F192*'Find Candidates'!$B$18+G192*'Find Candidates'!$B$19+H192*'Find Candidates'!$B$20,0)</f>
        <v>0</v>
      </c>
      <c r="J192" s="140" t="str">
        <f aca="false">IF(AND($B192=1,I192&gt;0),I192-ROW()/10^8,"")</f>
        <v/>
      </c>
    </row>
    <row r="193" customFormat="false" ht="15" hidden="false" customHeight="false" outlineLevel="0" collapsed="false">
      <c r="A193" s="140" t="str">
        <f aca="false">IF(Candidates!A193="","",Candidates!A193)</f>
        <v/>
      </c>
      <c r="B193" s="140" t="str">
        <f aca="false">IF(Candidates!A193="","",IF(AND(Candidates!M193&lt;&gt;"Hired",Candidates!N193&lt;&gt;"Do Not Contact",Candidates!Q193="Yes"),1,0))</f>
        <v/>
      </c>
      <c r="C193" s="140" t="str">
        <f aca="false">IF($B193&lt;&gt;1,"",IF('Find Candidates'!$B$11=0,0,SUMPRODUCT(('Find Candidates'!$B$10:$F$10&lt;&gt;"")*ISNUMBER(SEARCH('Find Candidates'!$B$10:$F$10,Candidates!G193)))/'Find Candidates'!$B$11))</f>
        <v/>
      </c>
      <c r="D193" s="140" t="str">
        <f aca="false">IF($B193&lt;&gt;1,"",IF(N('Find Candidates'!$B$7)=0,1,MIN(1,Candidates!H193/'Find Candidates'!$B$7)))</f>
        <v/>
      </c>
      <c r="E193" s="140" t="str">
        <f aca="false">IF($B193&lt;&gt;1,"",IF(Candidates!F193='Find Candidates'!$B$6,1,0))</f>
        <v/>
      </c>
      <c r="F193" s="140" t="str">
        <f aca="false">IF($B193&lt;&gt;1,"",IF(Candidates!J193='Find Candidates'!$B$8,1,0))</f>
        <v/>
      </c>
      <c r="G193" s="140" t="str">
        <f aca="false">IF($B193&lt;&gt;1,"",IF(Candidates!K193&lt;=30,1,IF(Candidates!K193&lt;=60,0.5,0)))</f>
        <v/>
      </c>
      <c r="H193" s="140" t="str">
        <f aca="false">IF($B193&lt;&gt;1,"",IF(Candidates!I193&lt;='Find Candidates'!$B$9,1,0))</f>
        <v/>
      </c>
      <c r="I193" s="140" t="n">
        <f aca="false">IF($B193=1,C193*'Find Candidates'!$B$15+D193*'Find Candidates'!$B$16+E193*'Find Candidates'!$B$17+F193*'Find Candidates'!$B$18+G193*'Find Candidates'!$B$19+H193*'Find Candidates'!$B$20,0)</f>
        <v>0</v>
      </c>
      <c r="J193" s="140" t="str">
        <f aca="false">IF(AND($B193=1,I193&gt;0),I193-ROW()/10^8,"")</f>
        <v/>
      </c>
    </row>
    <row r="194" customFormat="false" ht="15" hidden="false" customHeight="false" outlineLevel="0" collapsed="false">
      <c r="A194" s="140" t="str">
        <f aca="false">IF(Candidates!A194="","",Candidates!A194)</f>
        <v/>
      </c>
      <c r="B194" s="140" t="str">
        <f aca="false">IF(Candidates!A194="","",IF(AND(Candidates!M194&lt;&gt;"Hired",Candidates!N194&lt;&gt;"Do Not Contact",Candidates!Q194="Yes"),1,0))</f>
        <v/>
      </c>
      <c r="C194" s="140" t="str">
        <f aca="false">IF($B194&lt;&gt;1,"",IF('Find Candidates'!$B$11=0,0,SUMPRODUCT(('Find Candidates'!$B$10:$F$10&lt;&gt;"")*ISNUMBER(SEARCH('Find Candidates'!$B$10:$F$10,Candidates!G194)))/'Find Candidates'!$B$11))</f>
        <v/>
      </c>
      <c r="D194" s="140" t="str">
        <f aca="false">IF($B194&lt;&gt;1,"",IF(N('Find Candidates'!$B$7)=0,1,MIN(1,Candidates!H194/'Find Candidates'!$B$7)))</f>
        <v/>
      </c>
      <c r="E194" s="140" t="str">
        <f aca="false">IF($B194&lt;&gt;1,"",IF(Candidates!F194='Find Candidates'!$B$6,1,0))</f>
        <v/>
      </c>
      <c r="F194" s="140" t="str">
        <f aca="false">IF($B194&lt;&gt;1,"",IF(Candidates!J194='Find Candidates'!$B$8,1,0))</f>
        <v/>
      </c>
      <c r="G194" s="140" t="str">
        <f aca="false">IF($B194&lt;&gt;1,"",IF(Candidates!K194&lt;=30,1,IF(Candidates!K194&lt;=60,0.5,0)))</f>
        <v/>
      </c>
      <c r="H194" s="140" t="str">
        <f aca="false">IF($B194&lt;&gt;1,"",IF(Candidates!I194&lt;='Find Candidates'!$B$9,1,0))</f>
        <v/>
      </c>
      <c r="I194" s="140" t="n">
        <f aca="false">IF($B194=1,C194*'Find Candidates'!$B$15+D194*'Find Candidates'!$B$16+E194*'Find Candidates'!$B$17+F194*'Find Candidates'!$B$18+G194*'Find Candidates'!$B$19+H194*'Find Candidates'!$B$20,0)</f>
        <v>0</v>
      </c>
      <c r="J194" s="140" t="str">
        <f aca="false">IF(AND($B194=1,I194&gt;0),I194-ROW()/10^8,"")</f>
        <v/>
      </c>
    </row>
    <row r="195" customFormat="false" ht="15" hidden="false" customHeight="false" outlineLevel="0" collapsed="false">
      <c r="A195" s="140" t="str">
        <f aca="false">IF(Candidates!A195="","",Candidates!A195)</f>
        <v/>
      </c>
      <c r="B195" s="140" t="str">
        <f aca="false">IF(Candidates!A195="","",IF(AND(Candidates!M195&lt;&gt;"Hired",Candidates!N195&lt;&gt;"Do Not Contact",Candidates!Q195="Yes"),1,0))</f>
        <v/>
      </c>
      <c r="C195" s="140" t="str">
        <f aca="false">IF($B195&lt;&gt;1,"",IF('Find Candidates'!$B$11=0,0,SUMPRODUCT(('Find Candidates'!$B$10:$F$10&lt;&gt;"")*ISNUMBER(SEARCH('Find Candidates'!$B$10:$F$10,Candidates!G195)))/'Find Candidates'!$B$11))</f>
        <v/>
      </c>
      <c r="D195" s="140" t="str">
        <f aca="false">IF($B195&lt;&gt;1,"",IF(N('Find Candidates'!$B$7)=0,1,MIN(1,Candidates!H195/'Find Candidates'!$B$7)))</f>
        <v/>
      </c>
      <c r="E195" s="140" t="str">
        <f aca="false">IF($B195&lt;&gt;1,"",IF(Candidates!F195='Find Candidates'!$B$6,1,0))</f>
        <v/>
      </c>
      <c r="F195" s="140" t="str">
        <f aca="false">IF($B195&lt;&gt;1,"",IF(Candidates!J195='Find Candidates'!$B$8,1,0))</f>
        <v/>
      </c>
      <c r="G195" s="140" t="str">
        <f aca="false">IF($B195&lt;&gt;1,"",IF(Candidates!K195&lt;=30,1,IF(Candidates!K195&lt;=60,0.5,0)))</f>
        <v/>
      </c>
      <c r="H195" s="140" t="str">
        <f aca="false">IF($B195&lt;&gt;1,"",IF(Candidates!I195&lt;='Find Candidates'!$B$9,1,0))</f>
        <v/>
      </c>
      <c r="I195" s="140" t="n">
        <f aca="false">IF($B195=1,C195*'Find Candidates'!$B$15+D195*'Find Candidates'!$B$16+E195*'Find Candidates'!$B$17+F195*'Find Candidates'!$B$18+G195*'Find Candidates'!$B$19+H195*'Find Candidates'!$B$20,0)</f>
        <v>0</v>
      </c>
      <c r="J195" s="140" t="str">
        <f aca="false">IF(AND($B195=1,I195&gt;0),I195-ROW()/10^8,"")</f>
        <v/>
      </c>
    </row>
    <row r="196" customFormat="false" ht="15" hidden="false" customHeight="false" outlineLevel="0" collapsed="false">
      <c r="A196" s="140" t="str">
        <f aca="false">IF(Candidates!A196="","",Candidates!A196)</f>
        <v/>
      </c>
      <c r="B196" s="140" t="str">
        <f aca="false">IF(Candidates!A196="","",IF(AND(Candidates!M196&lt;&gt;"Hired",Candidates!N196&lt;&gt;"Do Not Contact",Candidates!Q196="Yes"),1,0))</f>
        <v/>
      </c>
      <c r="C196" s="140" t="str">
        <f aca="false">IF($B196&lt;&gt;1,"",IF('Find Candidates'!$B$11=0,0,SUMPRODUCT(('Find Candidates'!$B$10:$F$10&lt;&gt;"")*ISNUMBER(SEARCH('Find Candidates'!$B$10:$F$10,Candidates!G196)))/'Find Candidates'!$B$11))</f>
        <v/>
      </c>
      <c r="D196" s="140" t="str">
        <f aca="false">IF($B196&lt;&gt;1,"",IF(N('Find Candidates'!$B$7)=0,1,MIN(1,Candidates!H196/'Find Candidates'!$B$7)))</f>
        <v/>
      </c>
      <c r="E196" s="140" t="str">
        <f aca="false">IF($B196&lt;&gt;1,"",IF(Candidates!F196='Find Candidates'!$B$6,1,0))</f>
        <v/>
      </c>
      <c r="F196" s="140" t="str">
        <f aca="false">IF($B196&lt;&gt;1,"",IF(Candidates!J196='Find Candidates'!$B$8,1,0))</f>
        <v/>
      </c>
      <c r="G196" s="140" t="str">
        <f aca="false">IF($B196&lt;&gt;1,"",IF(Candidates!K196&lt;=30,1,IF(Candidates!K196&lt;=60,0.5,0)))</f>
        <v/>
      </c>
      <c r="H196" s="140" t="str">
        <f aca="false">IF($B196&lt;&gt;1,"",IF(Candidates!I196&lt;='Find Candidates'!$B$9,1,0))</f>
        <v/>
      </c>
      <c r="I196" s="140" t="n">
        <f aca="false">IF($B196=1,C196*'Find Candidates'!$B$15+D196*'Find Candidates'!$B$16+E196*'Find Candidates'!$B$17+F196*'Find Candidates'!$B$18+G196*'Find Candidates'!$B$19+H196*'Find Candidates'!$B$20,0)</f>
        <v>0</v>
      </c>
      <c r="J196" s="140" t="str">
        <f aca="false">IF(AND($B196=1,I196&gt;0),I196-ROW()/10^8,"")</f>
        <v/>
      </c>
    </row>
    <row r="197" customFormat="false" ht="15" hidden="false" customHeight="false" outlineLevel="0" collapsed="false">
      <c r="A197" s="140" t="str">
        <f aca="false">IF(Candidates!A197="","",Candidates!A197)</f>
        <v/>
      </c>
      <c r="B197" s="140" t="str">
        <f aca="false">IF(Candidates!A197="","",IF(AND(Candidates!M197&lt;&gt;"Hired",Candidates!N197&lt;&gt;"Do Not Contact",Candidates!Q197="Yes"),1,0))</f>
        <v/>
      </c>
      <c r="C197" s="140" t="str">
        <f aca="false">IF($B197&lt;&gt;1,"",IF('Find Candidates'!$B$11=0,0,SUMPRODUCT(('Find Candidates'!$B$10:$F$10&lt;&gt;"")*ISNUMBER(SEARCH('Find Candidates'!$B$10:$F$10,Candidates!G197)))/'Find Candidates'!$B$11))</f>
        <v/>
      </c>
      <c r="D197" s="140" t="str">
        <f aca="false">IF($B197&lt;&gt;1,"",IF(N('Find Candidates'!$B$7)=0,1,MIN(1,Candidates!H197/'Find Candidates'!$B$7)))</f>
        <v/>
      </c>
      <c r="E197" s="140" t="str">
        <f aca="false">IF($B197&lt;&gt;1,"",IF(Candidates!F197='Find Candidates'!$B$6,1,0))</f>
        <v/>
      </c>
      <c r="F197" s="140" t="str">
        <f aca="false">IF($B197&lt;&gt;1,"",IF(Candidates!J197='Find Candidates'!$B$8,1,0))</f>
        <v/>
      </c>
      <c r="G197" s="140" t="str">
        <f aca="false">IF($B197&lt;&gt;1,"",IF(Candidates!K197&lt;=30,1,IF(Candidates!K197&lt;=60,0.5,0)))</f>
        <v/>
      </c>
      <c r="H197" s="140" t="str">
        <f aca="false">IF($B197&lt;&gt;1,"",IF(Candidates!I197&lt;='Find Candidates'!$B$9,1,0))</f>
        <v/>
      </c>
      <c r="I197" s="140" t="n">
        <f aca="false">IF($B197=1,C197*'Find Candidates'!$B$15+D197*'Find Candidates'!$B$16+E197*'Find Candidates'!$B$17+F197*'Find Candidates'!$B$18+G197*'Find Candidates'!$B$19+H197*'Find Candidates'!$B$20,0)</f>
        <v>0</v>
      </c>
      <c r="J197" s="140" t="str">
        <f aca="false">IF(AND($B197=1,I197&gt;0),I197-ROW()/10^8,"")</f>
        <v/>
      </c>
    </row>
    <row r="198" customFormat="false" ht="15" hidden="false" customHeight="false" outlineLevel="0" collapsed="false">
      <c r="A198" s="140" t="str">
        <f aca="false">IF(Candidates!A198="","",Candidates!A198)</f>
        <v/>
      </c>
      <c r="B198" s="140" t="str">
        <f aca="false">IF(Candidates!A198="","",IF(AND(Candidates!M198&lt;&gt;"Hired",Candidates!N198&lt;&gt;"Do Not Contact",Candidates!Q198="Yes"),1,0))</f>
        <v/>
      </c>
      <c r="C198" s="140" t="str">
        <f aca="false">IF($B198&lt;&gt;1,"",IF('Find Candidates'!$B$11=0,0,SUMPRODUCT(('Find Candidates'!$B$10:$F$10&lt;&gt;"")*ISNUMBER(SEARCH('Find Candidates'!$B$10:$F$10,Candidates!G198)))/'Find Candidates'!$B$11))</f>
        <v/>
      </c>
      <c r="D198" s="140" t="str">
        <f aca="false">IF($B198&lt;&gt;1,"",IF(N('Find Candidates'!$B$7)=0,1,MIN(1,Candidates!H198/'Find Candidates'!$B$7)))</f>
        <v/>
      </c>
      <c r="E198" s="140" t="str">
        <f aca="false">IF($B198&lt;&gt;1,"",IF(Candidates!F198='Find Candidates'!$B$6,1,0))</f>
        <v/>
      </c>
      <c r="F198" s="140" t="str">
        <f aca="false">IF($B198&lt;&gt;1,"",IF(Candidates!J198='Find Candidates'!$B$8,1,0))</f>
        <v/>
      </c>
      <c r="G198" s="140" t="str">
        <f aca="false">IF($B198&lt;&gt;1,"",IF(Candidates!K198&lt;=30,1,IF(Candidates!K198&lt;=60,0.5,0)))</f>
        <v/>
      </c>
      <c r="H198" s="140" t="str">
        <f aca="false">IF($B198&lt;&gt;1,"",IF(Candidates!I198&lt;='Find Candidates'!$B$9,1,0))</f>
        <v/>
      </c>
      <c r="I198" s="140" t="n">
        <f aca="false">IF($B198=1,C198*'Find Candidates'!$B$15+D198*'Find Candidates'!$B$16+E198*'Find Candidates'!$B$17+F198*'Find Candidates'!$B$18+G198*'Find Candidates'!$B$19+H198*'Find Candidates'!$B$20,0)</f>
        <v>0</v>
      </c>
      <c r="J198" s="140" t="str">
        <f aca="false">IF(AND($B198=1,I198&gt;0),I198-ROW()/10^8,"")</f>
        <v/>
      </c>
    </row>
    <row r="199" customFormat="false" ht="15" hidden="false" customHeight="false" outlineLevel="0" collapsed="false">
      <c r="A199" s="140" t="str">
        <f aca="false">IF(Candidates!A199="","",Candidates!A199)</f>
        <v/>
      </c>
      <c r="B199" s="140" t="str">
        <f aca="false">IF(Candidates!A199="","",IF(AND(Candidates!M199&lt;&gt;"Hired",Candidates!N199&lt;&gt;"Do Not Contact",Candidates!Q199="Yes"),1,0))</f>
        <v/>
      </c>
      <c r="C199" s="140" t="str">
        <f aca="false">IF($B199&lt;&gt;1,"",IF('Find Candidates'!$B$11=0,0,SUMPRODUCT(('Find Candidates'!$B$10:$F$10&lt;&gt;"")*ISNUMBER(SEARCH('Find Candidates'!$B$10:$F$10,Candidates!G199)))/'Find Candidates'!$B$11))</f>
        <v/>
      </c>
      <c r="D199" s="140" t="str">
        <f aca="false">IF($B199&lt;&gt;1,"",IF(N('Find Candidates'!$B$7)=0,1,MIN(1,Candidates!H199/'Find Candidates'!$B$7)))</f>
        <v/>
      </c>
      <c r="E199" s="140" t="str">
        <f aca="false">IF($B199&lt;&gt;1,"",IF(Candidates!F199='Find Candidates'!$B$6,1,0))</f>
        <v/>
      </c>
      <c r="F199" s="140" t="str">
        <f aca="false">IF($B199&lt;&gt;1,"",IF(Candidates!J199='Find Candidates'!$B$8,1,0))</f>
        <v/>
      </c>
      <c r="G199" s="140" t="str">
        <f aca="false">IF($B199&lt;&gt;1,"",IF(Candidates!K199&lt;=30,1,IF(Candidates!K199&lt;=60,0.5,0)))</f>
        <v/>
      </c>
      <c r="H199" s="140" t="str">
        <f aca="false">IF($B199&lt;&gt;1,"",IF(Candidates!I199&lt;='Find Candidates'!$B$9,1,0))</f>
        <v/>
      </c>
      <c r="I199" s="140" t="n">
        <f aca="false">IF($B199=1,C199*'Find Candidates'!$B$15+D199*'Find Candidates'!$B$16+E199*'Find Candidates'!$B$17+F199*'Find Candidates'!$B$18+G199*'Find Candidates'!$B$19+H199*'Find Candidates'!$B$20,0)</f>
        <v>0</v>
      </c>
      <c r="J199" s="140" t="str">
        <f aca="false">IF(AND($B199=1,I199&gt;0),I199-ROW()/10^8,"")</f>
        <v/>
      </c>
    </row>
    <row r="200" customFormat="false" ht="15" hidden="false" customHeight="false" outlineLevel="0" collapsed="false">
      <c r="A200" s="140" t="str">
        <f aca="false">IF(Candidates!A200="","",Candidates!A200)</f>
        <v/>
      </c>
      <c r="B200" s="140" t="str">
        <f aca="false">IF(Candidates!A200="","",IF(AND(Candidates!M200&lt;&gt;"Hired",Candidates!N200&lt;&gt;"Do Not Contact",Candidates!Q200="Yes"),1,0))</f>
        <v/>
      </c>
      <c r="C200" s="140" t="str">
        <f aca="false">IF($B200&lt;&gt;1,"",IF('Find Candidates'!$B$11=0,0,SUMPRODUCT(('Find Candidates'!$B$10:$F$10&lt;&gt;"")*ISNUMBER(SEARCH('Find Candidates'!$B$10:$F$10,Candidates!G200)))/'Find Candidates'!$B$11))</f>
        <v/>
      </c>
      <c r="D200" s="140" t="str">
        <f aca="false">IF($B200&lt;&gt;1,"",IF(N('Find Candidates'!$B$7)=0,1,MIN(1,Candidates!H200/'Find Candidates'!$B$7)))</f>
        <v/>
      </c>
      <c r="E200" s="140" t="str">
        <f aca="false">IF($B200&lt;&gt;1,"",IF(Candidates!F200='Find Candidates'!$B$6,1,0))</f>
        <v/>
      </c>
      <c r="F200" s="140" t="str">
        <f aca="false">IF($B200&lt;&gt;1,"",IF(Candidates!J200='Find Candidates'!$B$8,1,0))</f>
        <v/>
      </c>
      <c r="G200" s="140" t="str">
        <f aca="false">IF($B200&lt;&gt;1,"",IF(Candidates!K200&lt;=30,1,IF(Candidates!K200&lt;=60,0.5,0)))</f>
        <v/>
      </c>
      <c r="H200" s="140" t="str">
        <f aca="false">IF($B200&lt;&gt;1,"",IF(Candidates!I200&lt;='Find Candidates'!$B$9,1,0))</f>
        <v/>
      </c>
      <c r="I200" s="140" t="n">
        <f aca="false">IF($B200=1,C200*'Find Candidates'!$B$15+D200*'Find Candidates'!$B$16+E200*'Find Candidates'!$B$17+F200*'Find Candidates'!$B$18+G200*'Find Candidates'!$B$19+H200*'Find Candidates'!$B$20,0)</f>
        <v>0</v>
      </c>
      <c r="J200" s="140" t="str">
        <f aca="false">IF(AND($B200=1,I200&gt;0),I200-ROW()/10^8,"")</f>
        <v/>
      </c>
    </row>
    <row r="201" customFormat="false" ht="15" hidden="false" customHeight="false" outlineLevel="0" collapsed="false">
      <c r="A201" s="140" t="str">
        <f aca="false">IF(Candidates!A201="","",Candidates!A201)</f>
        <v/>
      </c>
      <c r="B201" s="140" t="str">
        <f aca="false">IF(Candidates!A201="","",IF(AND(Candidates!M201&lt;&gt;"Hired",Candidates!N201&lt;&gt;"Do Not Contact",Candidates!Q201="Yes"),1,0))</f>
        <v/>
      </c>
      <c r="C201" s="140" t="str">
        <f aca="false">IF($B201&lt;&gt;1,"",IF('Find Candidates'!$B$11=0,0,SUMPRODUCT(('Find Candidates'!$B$10:$F$10&lt;&gt;"")*ISNUMBER(SEARCH('Find Candidates'!$B$10:$F$10,Candidates!G201)))/'Find Candidates'!$B$11))</f>
        <v/>
      </c>
      <c r="D201" s="140" t="str">
        <f aca="false">IF($B201&lt;&gt;1,"",IF(N('Find Candidates'!$B$7)=0,1,MIN(1,Candidates!H201/'Find Candidates'!$B$7)))</f>
        <v/>
      </c>
      <c r="E201" s="140" t="str">
        <f aca="false">IF($B201&lt;&gt;1,"",IF(Candidates!F201='Find Candidates'!$B$6,1,0))</f>
        <v/>
      </c>
      <c r="F201" s="140" t="str">
        <f aca="false">IF($B201&lt;&gt;1,"",IF(Candidates!J201='Find Candidates'!$B$8,1,0))</f>
        <v/>
      </c>
      <c r="G201" s="140" t="str">
        <f aca="false">IF($B201&lt;&gt;1,"",IF(Candidates!K201&lt;=30,1,IF(Candidates!K201&lt;=60,0.5,0)))</f>
        <v/>
      </c>
      <c r="H201" s="140" t="str">
        <f aca="false">IF($B201&lt;&gt;1,"",IF(Candidates!I201&lt;='Find Candidates'!$B$9,1,0))</f>
        <v/>
      </c>
      <c r="I201" s="140" t="n">
        <f aca="false">IF($B201=1,C201*'Find Candidates'!$B$15+D201*'Find Candidates'!$B$16+E201*'Find Candidates'!$B$17+F201*'Find Candidates'!$B$18+G201*'Find Candidates'!$B$19+H201*'Find Candidates'!$B$20,0)</f>
        <v>0</v>
      </c>
      <c r="J201" s="140" t="str">
        <f aca="false">IF(AND($B201=1,I201&gt;0),I201-ROW()/10^8,"")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24"/>
    <col collapsed="false" customWidth="true" hidden="false" outlineLevel="0" max="4" min="4" style="0" width="18"/>
    <col collapsed="false" customWidth="true" hidden="false" outlineLevel="0" max="5" min="5" style="0" width="10"/>
    <col collapsed="false" customWidth="true" hidden="false" outlineLevel="0" max="6" min="6" style="0" width="16"/>
    <col collapsed="false" customWidth="true" hidden="false" outlineLevel="0" max="7" min="7" style="0" width="26"/>
    <col collapsed="false" customWidth="true" hidden="false" outlineLevel="0" max="8" min="8" style="0" width="24"/>
    <col collapsed="false" customWidth="true" hidden="false" outlineLevel="0" max="9" min="9" style="0" width="16"/>
    <col collapsed="false" customWidth="true" hidden="false" outlineLevel="0" max="10" min="10" style="0" width="10"/>
  </cols>
  <sheetData>
    <row r="1" customFormat="false" ht="15" hidden="false" customHeight="false" outlineLevel="0" collapsed="false">
      <c r="A1" s="95" t="s">
        <v>596</v>
      </c>
      <c r="B1" s="95" t="s">
        <v>245</v>
      </c>
      <c r="C1" s="95" t="s">
        <v>246</v>
      </c>
      <c r="D1" s="95" t="s">
        <v>222</v>
      </c>
      <c r="E1" s="95" t="s">
        <v>597</v>
      </c>
      <c r="F1" s="95" t="s">
        <v>598</v>
      </c>
      <c r="G1" s="95" t="s">
        <v>241</v>
      </c>
      <c r="H1" s="95" t="s">
        <v>599</v>
      </c>
      <c r="I1" s="95" t="s">
        <v>600</v>
      </c>
      <c r="J1" s="95" t="s">
        <v>519</v>
      </c>
      <c r="L1" s="132" t="s">
        <v>601</v>
      </c>
    </row>
    <row r="2" customFormat="false" ht="15" hidden="false" customHeight="false" outlineLevel="0" collapsed="false">
      <c r="A2" s="140" t="s">
        <v>179</v>
      </c>
      <c r="B2" s="140" t="s">
        <v>177</v>
      </c>
      <c r="C2" s="140" t="s">
        <v>178</v>
      </c>
      <c r="D2" s="140" t="s">
        <v>264</v>
      </c>
      <c r="E2" s="140" t="s">
        <v>266</v>
      </c>
      <c r="F2" s="140" t="s">
        <v>263</v>
      </c>
      <c r="G2" s="140" t="s">
        <v>578</v>
      </c>
      <c r="H2" s="140" t="s">
        <v>268</v>
      </c>
      <c r="I2" s="140" t="s">
        <v>528</v>
      </c>
      <c r="J2" s="140" t="s">
        <v>530</v>
      </c>
    </row>
    <row r="3" customFormat="false" ht="15" hidden="false" customHeight="false" outlineLevel="0" collapsed="false">
      <c r="A3" s="140" t="s">
        <v>183</v>
      </c>
      <c r="B3" s="140" t="s">
        <v>181</v>
      </c>
      <c r="C3" s="140" t="s">
        <v>182</v>
      </c>
      <c r="D3" s="140" t="s">
        <v>275</v>
      </c>
      <c r="E3" s="140" t="s">
        <v>267</v>
      </c>
      <c r="F3" s="140" t="s">
        <v>274</v>
      </c>
      <c r="G3" s="140" t="s">
        <v>549</v>
      </c>
      <c r="H3" s="140" t="s">
        <v>602</v>
      </c>
      <c r="I3" s="140" t="s">
        <v>573</v>
      </c>
      <c r="J3" s="140" t="s">
        <v>538</v>
      </c>
    </row>
    <row r="4" customFormat="false" ht="15" hidden="false" customHeight="false" outlineLevel="0" collapsed="false">
      <c r="A4" s="140" t="s">
        <v>186</v>
      </c>
      <c r="B4" s="140" t="s">
        <v>184</v>
      </c>
      <c r="C4" s="140" t="s">
        <v>185</v>
      </c>
      <c r="D4" s="140" t="s">
        <v>308</v>
      </c>
      <c r="F4" s="140" t="s">
        <v>307</v>
      </c>
      <c r="G4" s="140" t="s">
        <v>558</v>
      </c>
      <c r="H4" s="140" t="s">
        <v>297</v>
      </c>
      <c r="I4" s="140" t="s">
        <v>551</v>
      </c>
      <c r="J4" s="140" t="s">
        <v>553</v>
      </c>
    </row>
    <row r="5" customFormat="false" ht="15" hidden="false" customHeight="false" outlineLevel="0" collapsed="false">
      <c r="A5" s="140" t="s">
        <v>189</v>
      </c>
      <c r="B5" s="140" t="s">
        <v>187</v>
      </c>
      <c r="C5" s="140" t="s">
        <v>188</v>
      </c>
      <c r="D5" s="140" t="s">
        <v>295</v>
      </c>
      <c r="F5" s="140" t="s">
        <v>288</v>
      </c>
      <c r="G5" s="140" t="s">
        <v>544</v>
      </c>
      <c r="H5" s="140" t="s">
        <v>603</v>
      </c>
    </row>
    <row r="6" customFormat="false" ht="15" hidden="false" customHeight="false" outlineLevel="0" collapsed="false">
      <c r="A6" s="140" t="s">
        <v>191</v>
      </c>
      <c r="B6" s="140" t="s">
        <v>190</v>
      </c>
      <c r="D6" s="140" t="s">
        <v>281</v>
      </c>
      <c r="F6" s="140" t="s">
        <v>332</v>
      </c>
      <c r="G6" s="140" t="s">
        <v>525</v>
      </c>
      <c r="H6" s="140" t="s">
        <v>604</v>
      </c>
    </row>
    <row r="7" customFormat="false" ht="15" hidden="false" customHeight="false" outlineLevel="0" collapsed="false">
      <c r="A7" s="140" t="s">
        <v>193</v>
      </c>
      <c r="B7" s="140" t="s">
        <v>192</v>
      </c>
      <c r="F7" s="140" t="s">
        <v>294</v>
      </c>
      <c r="G7" s="140" t="s">
        <v>556</v>
      </c>
    </row>
    <row r="8" customFormat="false" ht="15" hidden="false" customHeight="false" outlineLevel="0" collapsed="false">
      <c r="A8" s="140" t="s">
        <v>195</v>
      </c>
      <c r="B8" s="140" t="s">
        <v>194</v>
      </c>
      <c r="G8" s="140" t="s">
        <v>563</v>
      </c>
    </row>
    <row r="9" customFormat="false" ht="15" hidden="false" customHeight="false" outlineLevel="0" collapsed="false">
      <c r="G9" s="140" t="s">
        <v>565</v>
      </c>
    </row>
    <row r="10" customFormat="false" ht="15" hidden="false" customHeight="false" outlineLevel="0" collapsed="false">
      <c r="G10" s="140" t="s">
        <v>541</v>
      </c>
    </row>
    <row r="11" customFormat="false" ht="15" hidden="false" customHeight="false" outlineLevel="0" collapsed="false">
      <c r="G11" s="140" t="s">
        <v>533</v>
      </c>
    </row>
    <row r="12" customFormat="false" ht="15" hidden="false" customHeight="false" outlineLevel="0" collapsed="false">
      <c r="G12" s="140" t="s">
        <v>570</v>
      </c>
    </row>
    <row r="13" customFormat="false" ht="15" hidden="false" customHeight="false" outlineLevel="0" collapsed="false">
      <c r="G13" s="140" t="s">
        <v>547</v>
      </c>
    </row>
    <row r="14" customFormat="false" ht="15" hidden="false" customHeight="false" outlineLevel="0" collapsed="false">
      <c r="G14" s="140" t="s">
        <v>577</v>
      </c>
    </row>
    <row r="15" customFormat="false" ht="15" hidden="false" customHeight="false" outlineLevel="0" collapsed="false">
      <c r="G15" s="140" t="s">
        <v>564</v>
      </c>
    </row>
    <row r="16" customFormat="false" ht="15" hidden="false" customHeight="false" outlineLevel="0" collapsed="false">
      <c r="G16" s="140" t="s">
        <v>542</v>
      </c>
    </row>
    <row r="17" customFormat="false" ht="15" hidden="false" customHeight="false" outlineLevel="0" collapsed="false">
      <c r="G17" s="140" t="s">
        <v>568</v>
      </c>
    </row>
    <row r="18" customFormat="false" ht="15" hidden="false" customHeight="false" outlineLevel="0" collapsed="false">
      <c r="G18" s="140" t="s">
        <v>572</v>
      </c>
    </row>
    <row r="19" customFormat="false" ht="15" hidden="false" customHeight="false" outlineLevel="0" collapsed="false">
      <c r="G19" s="140" t="s">
        <v>576</v>
      </c>
    </row>
    <row r="20" customFormat="false" ht="15" hidden="false" customHeight="false" outlineLevel="0" collapsed="false">
      <c r="G20" s="140" t="s">
        <v>524</v>
      </c>
    </row>
    <row r="21" customFormat="false" ht="15" hidden="false" customHeight="false" outlineLevel="0" collapsed="false">
      <c r="G21" s="140" t="s">
        <v>557</v>
      </c>
    </row>
    <row r="22" customFormat="false" ht="15" hidden="false" customHeight="false" outlineLevel="0" collapsed="false">
      <c r="G22" s="140" t="s">
        <v>543</v>
      </c>
    </row>
    <row r="23" customFormat="false" ht="15" hidden="false" customHeight="false" outlineLevel="0" collapsed="false">
      <c r="G23" s="140" t="s">
        <v>559</v>
      </c>
    </row>
    <row r="24" customFormat="false" ht="15" hidden="false" customHeight="false" outlineLevel="0" collapsed="false">
      <c r="G24" s="140" t="s">
        <v>523</v>
      </c>
    </row>
    <row r="25" customFormat="false" ht="15" hidden="false" customHeight="false" outlineLevel="0" collapsed="false">
      <c r="G25" s="140" t="s">
        <v>535</v>
      </c>
    </row>
    <row r="26" customFormat="false" ht="15" hidden="false" customHeight="false" outlineLevel="0" collapsed="false">
      <c r="G26" s="140" t="s">
        <v>548</v>
      </c>
    </row>
    <row r="27" customFormat="false" ht="15" hidden="false" customHeight="false" outlineLevel="0" collapsed="false">
      <c r="G27" s="140" t="s">
        <v>550</v>
      </c>
    </row>
    <row r="28" customFormat="false" ht="15" hidden="false" customHeight="false" outlineLevel="0" collapsed="false">
      <c r="G28" s="140" t="s">
        <v>540</v>
      </c>
    </row>
    <row r="29" customFormat="false" ht="15" hidden="false" customHeight="false" outlineLevel="0" collapsed="false">
      <c r="G29" s="140" t="s">
        <v>536</v>
      </c>
    </row>
    <row r="30" customFormat="false" ht="15" hidden="false" customHeight="false" outlineLevel="0" collapsed="false">
      <c r="G30" s="140" t="s">
        <v>569</v>
      </c>
    </row>
    <row r="31" customFormat="false" ht="15" hidden="false" customHeight="false" outlineLevel="0" collapsed="false">
      <c r="G31" s="140" t="s">
        <v>562</v>
      </c>
    </row>
    <row r="32" customFormat="false" ht="15" hidden="false" customHeight="false" outlineLevel="0" collapsed="false">
      <c r="G32" s="140" t="s">
        <v>571</v>
      </c>
    </row>
    <row r="33" customFormat="false" ht="15" hidden="false" customHeight="false" outlineLevel="0" collapsed="false">
      <c r="G33" s="140" t="s">
        <v>532</v>
      </c>
    </row>
    <row r="34" customFormat="false" ht="15" hidden="false" customHeight="false" outlineLevel="0" collapsed="false">
      <c r="G34" s="140" t="s">
        <v>555</v>
      </c>
    </row>
    <row r="35" customFormat="false" ht="15" hidden="false" customHeight="false" outlineLevel="0" collapsed="false">
      <c r="G35" s="140" t="s">
        <v>527</v>
      </c>
    </row>
    <row r="36" customFormat="false" ht="15" hidden="false" customHeight="false" outlineLevel="0" collapsed="false">
      <c r="G36" s="140" t="s">
        <v>534</v>
      </c>
    </row>
    <row r="37" customFormat="false" ht="15" hidden="false" customHeight="false" outlineLevel="0" collapsed="false">
      <c r="G37" s="140" t="s">
        <v>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s>
  <sheetData>
    <row r="1" customFormat="false" ht="15" hidden="false" customHeight="false" outlineLevel="0" collapsed="false">
      <c r="A1" s="95" t="s">
        <v>605</v>
      </c>
      <c r="B1" s="95" t="s">
        <v>606</v>
      </c>
    </row>
    <row r="2" customFormat="false" ht="15" hidden="false" customHeight="false" outlineLevel="0" collapsed="false">
      <c r="A2" s="117" t="s">
        <v>607</v>
      </c>
      <c r="B2" s="141" t="s">
        <v>608</v>
      </c>
    </row>
    <row r="3" customFormat="false" ht="15" hidden="false" customHeight="false" outlineLevel="0" collapsed="false">
      <c r="A3" s="117" t="s">
        <v>609</v>
      </c>
      <c r="B3" s="141" t="s">
        <v>610</v>
      </c>
    </row>
    <row r="4" customFormat="false" ht="15" hidden="false" customHeight="false" outlineLevel="0" collapsed="false">
      <c r="A4" s="117" t="s">
        <v>611</v>
      </c>
      <c r="B4" s="141" t="s">
        <v>612</v>
      </c>
    </row>
    <row r="5" customFormat="false" ht="15" hidden="false" customHeight="false" outlineLevel="0" collapsed="false">
      <c r="A5" s="117" t="s">
        <v>613</v>
      </c>
      <c r="B5" s="141" t="s">
        <v>614</v>
      </c>
    </row>
    <row r="6" customFormat="false" ht="15" hidden="false" customHeight="false" outlineLevel="0" collapsed="false">
      <c r="A6" s="117" t="s">
        <v>615</v>
      </c>
      <c r="B6" s="141" t="s">
        <v>616</v>
      </c>
    </row>
    <row r="7" customFormat="false" ht="15" hidden="false" customHeight="false" outlineLevel="0" collapsed="false">
      <c r="A7" s="0" t="s">
        <v>617</v>
      </c>
      <c r="B7" s="0" t="s">
        <v>618</v>
      </c>
    </row>
    <row r="8" customFormat="false" ht="15" hidden="false" customHeight="false" outlineLevel="0" collapsed="false">
      <c r="A8" s="0" t="s">
        <v>619</v>
      </c>
      <c r="B8" s="0" t="s">
        <v>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2026-10-04T18:21:36Z</dcterms:created>
  <dc:creator>openpyxl</dc:creator>
  <dc:description/>
  <dc:language>en-US</dc:language>
  <cp:lastModifiedBy/>
  <dcterms:modified xsi:type="dcterms:W3CDTF">2026-10-05T16:54:04Z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